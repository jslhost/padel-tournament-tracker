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ans\Desktop\"/>
    </mc:Choice>
  </mc:AlternateContent>
  <xr:revisionPtr revIDLastSave="0" documentId="13_ncr:1_{253BAD9F-FE07-4007-9410-B9E70AFAE9AC}" xr6:coauthVersionLast="47" xr6:coauthVersionMax="47" xr10:uidLastSave="{00000000-0000-0000-0000-000000000000}"/>
  <bookViews>
    <workbookView xWindow="-110" yWindow="-110" windowWidth="19420" windowHeight="10300" tabRatio="500" firstSheet="5" activeTab="7" xr2:uid="{00000000-000D-0000-FFFF-FFFF00000000}"/>
  </bookViews>
  <sheets>
    <sheet name="📋 Mode d'emploi" sheetId="1" r:id="rId1"/>
    <sheet name="📝 Équipes" sheetId="2" r:id="rId2"/>
    <sheet name="Phase 1 - Poule A" sheetId="3" r:id="rId3"/>
    <sheet name="Phase 1 - Poule B" sheetId="4" r:id="rId4"/>
    <sheet name="Phase 1 - Poule C" sheetId="5" r:id="rId5"/>
    <sheet name="Phase 1 - Poule D" sheetId="6" r:id="rId6"/>
    <sheet name="Phase 1 - Poule E" sheetId="7" r:id="rId7"/>
    <sheet name="Classement Phase 1" sheetId="8" r:id="rId8"/>
    <sheet name="🏆 Phase 2 Top" sheetId="9" r:id="rId9"/>
    <sheet name="🥉 Phase 2 Consolante" sheetId="10" r:id="rId10"/>
    <sheet name="🏅 Phases Finales" sheetId="11" r:id="rId1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0" i="8" l="1"/>
  <c r="H54" i="11"/>
  <c r="H53" i="11"/>
  <c r="H52" i="11"/>
  <c r="H47" i="11"/>
  <c r="H46" i="11"/>
  <c r="H45" i="11"/>
  <c r="H40" i="11"/>
  <c r="H39" i="11"/>
  <c r="H38" i="11"/>
  <c r="H33" i="11"/>
  <c r="H32" i="11"/>
  <c r="H31" i="11"/>
  <c r="H24" i="11"/>
  <c r="H19" i="11"/>
  <c r="H14" i="11"/>
  <c r="H9" i="11"/>
  <c r="H6" i="11"/>
  <c r="M83" i="10"/>
  <c r="L83" i="10"/>
  <c r="K83" i="10"/>
  <c r="J83" i="10"/>
  <c r="N83" i="10" s="1"/>
  <c r="I83" i="10"/>
  <c r="H83" i="10"/>
  <c r="G83" i="10"/>
  <c r="F83" i="10"/>
  <c r="M82" i="10"/>
  <c r="L82" i="10"/>
  <c r="K82" i="10"/>
  <c r="J82" i="10"/>
  <c r="N82" i="10" s="1"/>
  <c r="I82" i="10"/>
  <c r="H82" i="10"/>
  <c r="G82" i="10"/>
  <c r="F82" i="10"/>
  <c r="N81" i="10"/>
  <c r="M81" i="10"/>
  <c r="L81" i="10"/>
  <c r="K81" i="10"/>
  <c r="J81" i="10"/>
  <c r="I81" i="10"/>
  <c r="H81" i="10"/>
  <c r="G81" i="10"/>
  <c r="F81" i="10"/>
  <c r="N80" i="10"/>
  <c r="O81" i="10" s="1"/>
  <c r="M80" i="10"/>
  <c r="L80" i="10"/>
  <c r="K80" i="10"/>
  <c r="J80" i="10"/>
  <c r="I80" i="10"/>
  <c r="H80" i="10"/>
  <c r="G80" i="10"/>
  <c r="F80" i="10"/>
  <c r="M79" i="10"/>
  <c r="L79" i="10"/>
  <c r="K79" i="10"/>
  <c r="J79" i="10"/>
  <c r="N79" i="10" s="1"/>
  <c r="I79" i="10"/>
  <c r="H79" i="10"/>
  <c r="G79" i="10"/>
  <c r="F79" i="10"/>
  <c r="N78" i="10"/>
  <c r="M78" i="10"/>
  <c r="L78" i="10"/>
  <c r="K78" i="10"/>
  <c r="J78" i="10"/>
  <c r="I78" i="10"/>
  <c r="H78" i="10"/>
  <c r="G78" i="10"/>
  <c r="F78" i="10"/>
  <c r="M77" i="10"/>
  <c r="L77" i="10"/>
  <c r="K77" i="10"/>
  <c r="J77" i="10"/>
  <c r="N77" i="10" s="1"/>
  <c r="O77" i="10" s="1"/>
  <c r="I77" i="10"/>
  <c r="H77" i="10"/>
  <c r="G77" i="10"/>
  <c r="F77" i="10"/>
  <c r="O76" i="10"/>
  <c r="J44" i="10" s="1"/>
  <c r="M76" i="10"/>
  <c r="L76" i="10"/>
  <c r="K76" i="10"/>
  <c r="J76" i="10"/>
  <c r="N76" i="10" s="1"/>
  <c r="I76" i="10"/>
  <c r="H76" i="10"/>
  <c r="G76" i="10"/>
  <c r="F76" i="10"/>
  <c r="N75" i="10"/>
  <c r="M75" i="10"/>
  <c r="L75" i="10"/>
  <c r="K75" i="10"/>
  <c r="J75" i="10"/>
  <c r="I75" i="10"/>
  <c r="H75" i="10"/>
  <c r="G75" i="10"/>
  <c r="F75" i="10"/>
  <c r="M74" i="10"/>
  <c r="N74" i="10" s="1"/>
  <c r="L74" i="10"/>
  <c r="K74" i="10"/>
  <c r="J74" i="10"/>
  <c r="I74" i="10"/>
  <c r="H74" i="10"/>
  <c r="G74" i="10"/>
  <c r="F74" i="10"/>
  <c r="M73" i="10"/>
  <c r="L73" i="10"/>
  <c r="K73" i="10"/>
  <c r="J73" i="10"/>
  <c r="I73" i="10"/>
  <c r="H73" i="10"/>
  <c r="G73" i="10"/>
  <c r="F73" i="10"/>
  <c r="N72" i="10"/>
  <c r="M72" i="10"/>
  <c r="L72" i="10"/>
  <c r="K72" i="10"/>
  <c r="J72" i="10"/>
  <c r="I72" i="10"/>
  <c r="H72" i="10"/>
  <c r="G72" i="10"/>
  <c r="F72" i="10"/>
  <c r="E55" i="10"/>
  <c r="H62" i="10" s="1"/>
  <c r="E54" i="10"/>
  <c r="E82" i="10" s="1"/>
  <c r="E53" i="10"/>
  <c r="E63" i="10" s="1"/>
  <c r="E52" i="10"/>
  <c r="E80" i="10" s="1"/>
  <c r="G45" i="10"/>
  <c r="E32" i="10"/>
  <c r="E31" i="10"/>
  <c r="E36" i="10" s="1"/>
  <c r="E30" i="10"/>
  <c r="E38" i="10" s="1"/>
  <c r="E29" i="10"/>
  <c r="E39" i="10" s="1"/>
  <c r="E9" i="10"/>
  <c r="E75" i="10" s="1"/>
  <c r="E8" i="10"/>
  <c r="E74" i="10" s="1"/>
  <c r="E7" i="10"/>
  <c r="E6" i="10"/>
  <c r="M55" i="9"/>
  <c r="L55" i="9"/>
  <c r="K55" i="9"/>
  <c r="J55" i="9"/>
  <c r="N55" i="9" s="1"/>
  <c r="O55" i="9" s="1"/>
  <c r="I55" i="9"/>
  <c r="H55" i="9"/>
  <c r="G55" i="9"/>
  <c r="F55" i="9"/>
  <c r="M54" i="9"/>
  <c r="L54" i="9"/>
  <c r="K54" i="9"/>
  <c r="J54" i="9"/>
  <c r="N54" i="9" s="1"/>
  <c r="O54" i="9" s="1"/>
  <c r="I54" i="9"/>
  <c r="H54" i="9"/>
  <c r="G54" i="9"/>
  <c r="F54" i="9"/>
  <c r="N53" i="9"/>
  <c r="M53" i="9"/>
  <c r="L53" i="9"/>
  <c r="K53" i="9"/>
  <c r="J53" i="9"/>
  <c r="I53" i="9"/>
  <c r="H53" i="9"/>
  <c r="G53" i="9"/>
  <c r="F53" i="9"/>
  <c r="M52" i="9"/>
  <c r="N52" i="9" s="1"/>
  <c r="L52" i="9"/>
  <c r="K52" i="9"/>
  <c r="J52" i="9"/>
  <c r="I52" i="9"/>
  <c r="H52" i="9"/>
  <c r="G52" i="9"/>
  <c r="F52" i="9"/>
  <c r="M51" i="9"/>
  <c r="L51" i="9"/>
  <c r="K51" i="9"/>
  <c r="J51" i="9"/>
  <c r="I51" i="9"/>
  <c r="H51" i="9"/>
  <c r="G51" i="9"/>
  <c r="F51" i="9"/>
  <c r="N50" i="9"/>
  <c r="M50" i="9"/>
  <c r="L50" i="9"/>
  <c r="K50" i="9"/>
  <c r="J50" i="9"/>
  <c r="I50" i="9"/>
  <c r="H50" i="9"/>
  <c r="G50" i="9"/>
  <c r="F50" i="9"/>
  <c r="M49" i="9"/>
  <c r="L49" i="9"/>
  <c r="K49" i="9"/>
  <c r="J49" i="9"/>
  <c r="N49" i="9" s="1"/>
  <c r="I49" i="9"/>
  <c r="H49" i="9"/>
  <c r="G49" i="9"/>
  <c r="F49" i="9"/>
  <c r="M48" i="9"/>
  <c r="L48" i="9"/>
  <c r="K48" i="9"/>
  <c r="J48" i="9"/>
  <c r="N48" i="9" s="1"/>
  <c r="I48" i="9"/>
  <c r="H48" i="9"/>
  <c r="G48" i="9"/>
  <c r="F48" i="9"/>
  <c r="E32" i="9"/>
  <c r="E55" i="9" s="1"/>
  <c r="E31" i="9"/>
  <c r="H37" i="9" s="1"/>
  <c r="E30" i="9"/>
  <c r="E53" i="9" s="1"/>
  <c r="E29" i="9"/>
  <c r="E52" i="9" s="1"/>
  <c r="E9" i="9"/>
  <c r="E51" i="9" s="1"/>
  <c r="E8" i="9"/>
  <c r="E50" i="9" s="1"/>
  <c r="E7" i="9"/>
  <c r="E49" i="9" s="1"/>
  <c r="E6" i="9"/>
  <c r="L33" i="7"/>
  <c r="K33" i="7"/>
  <c r="J33" i="7"/>
  <c r="I33" i="7"/>
  <c r="M33" i="7" s="1"/>
  <c r="H33" i="7"/>
  <c r="G33" i="7"/>
  <c r="F33" i="7"/>
  <c r="E33" i="7"/>
  <c r="D33" i="7"/>
  <c r="L32" i="7"/>
  <c r="K32" i="7"/>
  <c r="J32" i="7"/>
  <c r="I32" i="7"/>
  <c r="H32" i="7"/>
  <c r="G32" i="7"/>
  <c r="F32" i="7"/>
  <c r="E32" i="7"/>
  <c r="L31" i="7"/>
  <c r="K31" i="7"/>
  <c r="J31" i="7"/>
  <c r="I31" i="7"/>
  <c r="M31" i="7" s="1"/>
  <c r="H31" i="7"/>
  <c r="G31" i="7"/>
  <c r="F31" i="7"/>
  <c r="E31" i="7"/>
  <c r="L30" i="7"/>
  <c r="M30" i="7" s="1"/>
  <c r="K30" i="7"/>
  <c r="J30" i="7"/>
  <c r="I30" i="7"/>
  <c r="H30" i="7"/>
  <c r="G30" i="7"/>
  <c r="F30" i="7"/>
  <c r="E30" i="7"/>
  <c r="H16" i="7"/>
  <c r="D16" i="7"/>
  <c r="H15" i="7"/>
  <c r="H14" i="7"/>
  <c r="D14" i="7"/>
  <c r="H13" i="7"/>
  <c r="H12" i="7"/>
  <c r="D12" i="7"/>
  <c r="H11" i="7"/>
  <c r="C7" i="7"/>
  <c r="G14" i="7" s="1"/>
  <c r="C6" i="7"/>
  <c r="D32" i="7" s="1"/>
  <c r="C5" i="7"/>
  <c r="C4" i="7"/>
  <c r="L33" i="6"/>
  <c r="K33" i="6"/>
  <c r="J33" i="6"/>
  <c r="I33" i="6"/>
  <c r="M33" i="6" s="1"/>
  <c r="H33" i="6"/>
  <c r="G33" i="6"/>
  <c r="F33" i="6"/>
  <c r="E33" i="6"/>
  <c r="D33" i="6"/>
  <c r="L32" i="6"/>
  <c r="K32" i="6"/>
  <c r="J32" i="6"/>
  <c r="I32" i="6"/>
  <c r="H32" i="6"/>
  <c r="G32" i="6"/>
  <c r="F32" i="6"/>
  <c r="E32" i="6"/>
  <c r="L31" i="6"/>
  <c r="M31" i="6" s="1"/>
  <c r="K31" i="6"/>
  <c r="J31" i="6"/>
  <c r="I31" i="6"/>
  <c r="H31" i="6"/>
  <c r="G31" i="6"/>
  <c r="F31" i="6"/>
  <c r="E31" i="6"/>
  <c r="L30" i="6"/>
  <c r="K30" i="6"/>
  <c r="J30" i="6"/>
  <c r="I30" i="6"/>
  <c r="H30" i="6"/>
  <c r="G30" i="6"/>
  <c r="F30" i="6"/>
  <c r="E30" i="6"/>
  <c r="H16" i="6"/>
  <c r="D16" i="6"/>
  <c r="H15" i="6"/>
  <c r="H14" i="6"/>
  <c r="D14" i="6"/>
  <c r="H13" i="6"/>
  <c r="H12" i="6"/>
  <c r="D12" i="6"/>
  <c r="H11" i="6"/>
  <c r="C7" i="6"/>
  <c r="G14" i="6" s="1"/>
  <c r="C6" i="6"/>
  <c r="D32" i="6" s="1"/>
  <c r="C5" i="6"/>
  <c r="C4" i="6"/>
  <c r="L33" i="5"/>
  <c r="K33" i="5"/>
  <c r="J33" i="5"/>
  <c r="I33" i="5"/>
  <c r="H33" i="5"/>
  <c r="G33" i="5"/>
  <c r="F33" i="5"/>
  <c r="E33" i="5"/>
  <c r="L32" i="5"/>
  <c r="K32" i="5"/>
  <c r="J32" i="5"/>
  <c r="I32" i="5"/>
  <c r="M32" i="5" s="1"/>
  <c r="H32" i="5"/>
  <c r="G32" i="5"/>
  <c r="F32" i="5"/>
  <c r="E32" i="5"/>
  <c r="L31" i="5"/>
  <c r="M31" i="5" s="1"/>
  <c r="K31" i="5"/>
  <c r="J31" i="5"/>
  <c r="I31" i="5"/>
  <c r="H31" i="5"/>
  <c r="G31" i="5"/>
  <c r="F31" i="5"/>
  <c r="E31" i="5"/>
  <c r="L30" i="5"/>
  <c r="K30" i="5"/>
  <c r="J30" i="5"/>
  <c r="I30" i="5"/>
  <c r="H30" i="5"/>
  <c r="G30" i="5"/>
  <c r="F30" i="5"/>
  <c r="E30" i="5"/>
  <c r="H16" i="5"/>
  <c r="H15" i="5"/>
  <c r="H14" i="5"/>
  <c r="H13" i="5"/>
  <c r="H12" i="5"/>
  <c r="D12" i="5"/>
  <c r="H11" i="5"/>
  <c r="C7" i="5"/>
  <c r="D33" i="5" s="1"/>
  <c r="C6" i="5"/>
  <c r="D32" i="5" s="1"/>
  <c r="C5" i="5"/>
  <c r="C4" i="5"/>
  <c r="L33" i="4"/>
  <c r="K33" i="4"/>
  <c r="J33" i="4"/>
  <c r="I33" i="4"/>
  <c r="H33" i="4"/>
  <c r="G33" i="4"/>
  <c r="F33" i="4"/>
  <c r="E33" i="4"/>
  <c r="L32" i="4"/>
  <c r="K32" i="4"/>
  <c r="J32" i="4"/>
  <c r="I32" i="4"/>
  <c r="M32" i="4" s="1"/>
  <c r="H32" i="4"/>
  <c r="G32" i="4"/>
  <c r="F32" i="4"/>
  <c r="E32" i="4"/>
  <c r="D32" i="4"/>
  <c r="L31" i="4"/>
  <c r="K31" i="4"/>
  <c r="J31" i="4"/>
  <c r="I31" i="4"/>
  <c r="H31" i="4"/>
  <c r="G31" i="4"/>
  <c r="F31" i="4"/>
  <c r="E31" i="4"/>
  <c r="L30" i="4"/>
  <c r="K30" i="4"/>
  <c r="J30" i="4"/>
  <c r="I30" i="4"/>
  <c r="H30" i="4"/>
  <c r="G30" i="4"/>
  <c r="F30" i="4"/>
  <c r="E30" i="4"/>
  <c r="H16" i="4"/>
  <c r="H15" i="4"/>
  <c r="H14" i="4"/>
  <c r="G14" i="4"/>
  <c r="H13" i="4"/>
  <c r="H12" i="4"/>
  <c r="G12" i="4"/>
  <c r="H11" i="4"/>
  <c r="G11" i="4"/>
  <c r="C7" i="4"/>
  <c r="G15" i="4" s="1"/>
  <c r="C6" i="4"/>
  <c r="G16" i="4" s="1"/>
  <c r="C5" i="4"/>
  <c r="D31" i="4" s="1"/>
  <c r="C4" i="4"/>
  <c r="L33" i="3"/>
  <c r="K33" i="3"/>
  <c r="J33" i="3"/>
  <c r="I33" i="3"/>
  <c r="H33" i="3"/>
  <c r="G33" i="3"/>
  <c r="F33" i="3"/>
  <c r="E33" i="3"/>
  <c r="L32" i="3"/>
  <c r="K32" i="3"/>
  <c r="J32" i="3"/>
  <c r="I32" i="3"/>
  <c r="H32" i="3"/>
  <c r="G32" i="3"/>
  <c r="F32" i="3"/>
  <c r="E32" i="3"/>
  <c r="L31" i="3"/>
  <c r="K31" i="3"/>
  <c r="J31" i="3"/>
  <c r="I31" i="3"/>
  <c r="M31" i="3" s="1"/>
  <c r="H31" i="3"/>
  <c r="G31" i="3"/>
  <c r="F31" i="3"/>
  <c r="E31" i="3"/>
  <c r="D31" i="3"/>
  <c r="L30" i="3"/>
  <c r="K30" i="3"/>
  <c r="J30" i="3"/>
  <c r="I30" i="3"/>
  <c r="H30" i="3"/>
  <c r="G30" i="3"/>
  <c r="F30" i="3"/>
  <c r="E30" i="3"/>
  <c r="H16" i="3"/>
  <c r="G16" i="3"/>
  <c r="H14" i="3"/>
  <c r="G14" i="3"/>
  <c r="H13" i="3"/>
  <c r="H12" i="3"/>
  <c r="G12" i="3"/>
  <c r="C7" i="3"/>
  <c r="G15" i="3" s="1"/>
  <c r="C6" i="3"/>
  <c r="C5" i="3"/>
  <c r="G11" i="3" s="1"/>
  <c r="C4" i="3"/>
  <c r="C37" i="8"/>
  <c r="C36" i="8"/>
  <c r="C35" i="8"/>
  <c r="C34" i="8"/>
  <c r="C30" i="8"/>
  <c r="C29" i="8"/>
  <c r="C28" i="8"/>
  <c r="C27" i="8"/>
  <c r="C23" i="8"/>
  <c r="C22" i="8"/>
  <c r="C21" i="8"/>
  <c r="C20" i="8"/>
  <c r="C16" i="8"/>
  <c r="C15" i="8"/>
  <c r="C14" i="8"/>
  <c r="C13" i="8"/>
  <c r="C9" i="8"/>
  <c r="C8" i="8"/>
  <c r="C7" i="8"/>
  <c r="C6" i="8"/>
  <c r="H60" i="10" l="1"/>
  <c r="E37" i="9"/>
  <c r="H35" i="9"/>
  <c r="E40" i="9"/>
  <c r="H59" i="10"/>
  <c r="H13" i="9"/>
  <c r="H16" i="9"/>
  <c r="E58" i="10"/>
  <c r="E37" i="10"/>
  <c r="H61" i="10"/>
  <c r="E83" i="10"/>
  <c r="H16" i="10"/>
  <c r="H13" i="10"/>
  <c r="H63" i="10"/>
  <c r="E78" i="10"/>
  <c r="E46" i="10" s="1"/>
  <c r="H37" i="10"/>
  <c r="E13" i="10"/>
  <c r="H14" i="10"/>
  <c r="H17" i="10"/>
  <c r="H17" i="9"/>
  <c r="E13" i="9"/>
  <c r="H14" i="9"/>
  <c r="H58" i="10"/>
  <c r="E61" i="10"/>
  <c r="E40" i="10"/>
  <c r="H35" i="10"/>
  <c r="E77" i="10"/>
  <c r="E45" i="10" s="1"/>
  <c r="M31" i="4"/>
  <c r="M30" i="4"/>
  <c r="M30" i="3"/>
  <c r="M33" i="3"/>
  <c r="M32" i="3"/>
  <c r="M33" i="5"/>
  <c r="M30" i="5"/>
  <c r="N32" i="5" s="1"/>
  <c r="M30" i="6"/>
  <c r="M32" i="6"/>
  <c r="N32" i="6" s="1"/>
  <c r="M32" i="7"/>
  <c r="N30" i="7" s="1"/>
  <c r="G13" i="3"/>
  <c r="D12" i="3"/>
  <c r="D32" i="3"/>
  <c r="D30" i="4"/>
  <c r="D15" i="4"/>
  <c r="D13" i="4"/>
  <c r="D11" i="4"/>
  <c r="N30" i="5"/>
  <c r="O52" i="9"/>
  <c r="G13" i="4"/>
  <c r="D12" i="4"/>
  <c r="O50" i="9"/>
  <c r="M46" i="10"/>
  <c r="G46" i="10"/>
  <c r="J45" i="10"/>
  <c r="M44" i="10"/>
  <c r="G44" i="10"/>
  <c r="L46" i="10"/>
  <c r="F46" i="10"/>
  <c r="I45" i="10"/>
  <c r="L44" i="10"/>
  <c r="F44" i="10"/>
  <c r="K46" i="10"/>
  <c r="H45" i="10"/>
  <c r="K44" i="10"/>
  <c r="H46" i="10"/>
  <c r="K45" i="10"/>
  <c r="H44" i="10"/>
  <c r="I44" i="10"/>
  <c r="M45" i="10"/>
  <c r="L47" i="10"/>
  <c r="L45" i="10"/>
  <c r="F45" i="10"/>
  <c r="O79" i="10"/>
  <c r="O80" i="10"/>
  <c r="O82" i="10"/>
  <c r="D31" i="5"/>
  <c r="G11" i="5"/>
  <c r="D14" i="5"/>
  <c r="N31" i="5"/>
  <c r="N32" i="7"/>
  <c r="O53" i="9"/>
  <c r="D30" i="7"/>
  <c r="D15" i="7"/>
  <c r="D13" i="7"/>
  <c r="D11" i="7"/>
  <c r="E36" i="9"/>
  <c r="E54" i="9"/>
  <c r="H40" i="9"/>
  <c r="D30" i="3"/>
  <c r="D15" i="3"/>
  <c r="H15" i="3" s="1"/>
  <c r="D13" i="3"/>
  <c r="D11" i="3"/>
  <c r="H11" i="3" s="1"/>
  <c r="D16" i="5"/>
  <c r="N31" i="7"/>
  <c r="E12" i="9"/>
  <c r="E48" i="9"/>
  <c r="E14" i="9"/>
  <c r="E16" i="9"/>
  <c r="D14" i="3"/>
  <c r="D16" i="3"/>
  <c r="D33" i="3"/>
  <c r="D14" i="4"/>
  <c r="D16" i="4"/>
  <c r="D30" i="5"/>
  <c r="D15" i="5"/>
  <c r="D13" i="5"/>
  <c r="D11" i="5"/>
  <c r="D31" i="7"/>
  <c r="G11" i="7"/>
  <c r="N73" i="10"/>
  <c r="O73" i="10" s="1"/>
  <c r="M33" i="4"/>
  <c r="N33" i="4" s="1"/>
  <c r="E15" i="9"/>
  <c r="E17" i="9"/>
  <c r="H12" i="9"/>
  <c r="H38" i="9"/>
  <c r="H39" i="9"/>
  <c r="H36" i="9"/>
  <c r="O78" i="10"/>
  <c r="J46" i="10" s="1"/>
  <c r="O83" i="10"/>
  <c r="D33" i="4"/>
  <c r="G14" i="5"/>
  <c r="G12" i="5"/>
  <c r="G15" i="5"/>
  <c r="D30" i="6"/>
  <c r="D15" i="6"/>
  <c r="D13" i="6"/>
  <c r="D11" i="6"/>
  <c r="N33" i="7"/>
  <c r="E12" i="10"/>
  <c r="E14" i="10"/>
  <c r="H40" i="10"/>
  <c r="D31" i="6"/>
  <c r="G11" i="6"/>
  <c r="O49" i="9"/>
  <c r="N51" i="9"/>
  <c r="E15" i="10"/>
  <c r="E17" i="10"/>
  <c r="E73" i="10"/>
  <c r="H12" i="10"/>
  <c r="E16" i="10"/>
  <c r="H38" i="10"/>
  <c r="E79" i="10"/>
  <c r="H39" i="10"/>
  <c r="H36" i="10"/>
  <c r="E72" i="10"/>
  <c r="G13" i="5"/>
  <c r="G13" i="6"/>
  <c r="G15" i="6"/>
  <c r="G13" i="7"/>
  <c r="G15" i="7"/>
  <c r="H15" i="9"/>
  <c r="H15" i="10"/>
  <c r="G16" i="5"/>
  <c r="G12" i="6"/>
  <c r="G16" i="6"/>
  <c r="G12" i="7"/>
  <c r="G16" i="7"/>
  <c r="E35" i="9"/>
  <c r="E38" i="9"/>
  <c r="E35" i="10"/>
  <c r="E59" i="10"/>
  <c r="E62" i="10"/>
  <c r="E76" i="10"/>
  <c r="E44" i="10" s="1"/>
  <c r="E81" i="10"/>
  <c r="E39" i="9"/>
  <c r="E60" i="10"/>
  <c r="N30" i="6" l="1"/>
  <c r="N31" i="6"/>
  <c r="N33" i="6"/>
  <c r="I23" i="6" s="1"/>
  <c r="I29" i="8" s="1"/>
  <c r="N31" i="4"/>
  <c r="E47" i="10"/>
  <c r="N30" i="4"/>
  <c r="K23" i="4" s="1"/>
  <c r="K15" i="8" s="1"/>
  <c r="N32" i="4"/>
  <c r="I24" i="4" s="1"/>
  <c r="I16" i="8" s="1"/>
  <c r="N30" i="3"/>
  <c r="N33" i="3"/>
  <c r="N32" i="3"/>
  <c r="N31" i="3"/>
  <c r="N33" i="5"/>
  <c r="D24" i="5" s="1"/>
  <c r="D23" i="8" s="1"/>
  <c r="K21" i="6"/>
  <c r="K27" i="8" s="1"/>
  <c r="F22" i="7"/>
  <c r="F35" i="8" s="1"/>
  <c r="K21" i="7"/>
  <c r="K34" i="8" s="1"/>
  <c r="I21" i="7"/>
  <c r="I34" i="8" s="1"/>
  <c r="E21" i="7"/>
  <c r="E34" i="8" s="1"/>
  <c r="G22" i="7"/>
  <c r="G35" i="8" s="1"/>
  <c r="K22" i="7"/>
  <c r="K35" i="8" s="1"/>
  <c r="L21" i="7"/>
  <c r="L34" i="8" s="1"/>
  <c r="J21" i="7"/>
  <c r="J34" i="8" s="1"/>
  <c r="E22" i="7"/>
  <c r="E35" i="8" s="1"/>
  <c r="F23" i="7"/>
  <c r="F36" i="8" s="1"/>
  <c r="G23" i="7"/>
  <c r="G36" i="8" s="1"/>
  <c r="D21" i="7"/>
  <c r="D34" i="8" s="1"/>
  <c r="H21" i="7"/>
  <c r="H34" i="8" s="1"/>
  <c r="F21" i="7"/>
  <c r="F34" i="8" s="1"/>
  <c r="G21" i="7"/>
  <c r="G34" i="8" s="1"/>
  <c r="L22" i="7"/>
  <c r="L35" i="8" s="1"/>
  <c r="H22" i="7"/>
  <c r="H35" i="8" s="1"/>
  <c r="J22" i="7"/>
  <c r="J35" i="8" s="1"/>
  <c r="G24" i="7"/>
  <c r="G37" i="8" s="1"/>
  <c r="L23" i="7"/>
  <c r="L36" i="8" s="1"/>
  <c r="D22" i="7"/>
  <c r="D35" i="8" s="1"/>
  <c r="O72" i="10"/>
  <c r="H24" i="7"/>
  <c r="H37" i="8" s="1"/>
  <c r="L24" i="7"/>
  <c r="L37" i="8" s="1"/>
  <c r="L70" i="10"/>
  <c r="F70" i="10"/>
  <c r="I69" i="10"/>
  <c r="L68" i="10"/>
  <c r="F68" i="10"/>
  <c r="I67" i="10"/>
  <c r="K70" i="10"/>
  <c r="E70" i="10"/>
  <c r="H69" i="10"/>
  <c r="K68" i="10"/>
  <c r="E68" i="10"/>
  <c r="H67" i="10"/>
  <c r="J70" i="10"/>
  <c r="M69" i="10"/>
  <c r="G69" i="10"/>
  <c r="J68" i="10"/>
  <c r="M67" i="10"/>
  <c r="G67" i="10"/>
  <c r="M70" i="10"/>
  <c r="G70" i="10"/>
  <c r="J69" i="10"/>
  <c r="M68" i="10"/>
  <c r="G68" i="10"/>
  <c r="J67" i="10"/>
  <c r="E69" i="10"/>
  <c r="E67" i="10"/>
  <c r="I70" i="10"/>
  <c r="I68" i="10"/>
  <c r="H70" i="10"/>
  <c r="H68" i="10"/>
  <c r="K69" i="10"/>
  <c r="K67" i="10"/>
  <c r="F67" i="10"/>
  <c r="L69" i="10"/>
  <c r="F69" i="10"/>
  <c r="L67" i="10"/>
  <c r="J23" i="5"/>
  <c r="J22" i="8" s="1"/>
  <c r="D23" i="5"/>
  <c r="D22" i="8" s="1"/>
  <c r="G22" i="5"/>
  <c r="G21" i="8" s="1"/>
  <c r="J21" i="5"/>
  <c r="J20" i="8" s="1"/>
  <c r="D21" i="5"/>
  <c r="D20" i="8" s="1"/>
  <c r="I23" i="5"/>
  <c r="I22" i="8" s="1"/>
  <c r="L22" i="5"/>
  <c r="L21" i="8" s="1"/>
  <c r="F22" i="5"/>
  <c r="F21" i="8" s="1"/>
  <c r="H23" i="5"/>
  <c r="H22" i="8" s="1"/>
  <c r="K22" i="5"/>
  <c r="K21" i="8" s="1"/>
  <c r="E22" i="5"/>
  <c r="E21" i="8" s="1"/>
  <c r="H21" i="5"/>
  <c r="H20" i="8" s="1"/>
  <c r="K23" i="5"/>
  <c r="K22" i="8" s="1"/>
  <c r="E23" i="5"/>
  <c r="E22" i="8" s="1"/>
  <c r="H22" i="5"/>
  <c r="H21" i="8" s="1"/>
  <c r="K21" i="5"/>
  <c r="K20" i="8" s="1"/>
  <c r="E21" i="5"/>
  <c r="E20" i="8" s="1"/>
  <c r="L23" i="5"/>
  <c r="L22" i="8" s="1"/>
  <c r="L21" i="5"/>
  <c r="L20" i="8" s="1"/>
  <c r="G23" i="5"/>
  <c r="G22" i="8" s="1"/>
  <c r="I21" i="5"/>
  <c r="I20" i="8" s="1"/>
  <c r="F23" i="5"/>
  <c r="F22" i="8" s="1"/>
  <c r="G21" i="5"/>
  <c r="G20" i="8" s="1"/>
  <c r="I22" i="5"/>
  <c r="I21" i="8" s="1"/>
  <c r="D22" i="5"/>
  <c r="D21" i="8" s="1"/>
  <c r="J22" i="5"/>
  <c r="J21" i="8" s="1"/>
  <c r="F21" i="5"/>
  <c r="F20" i="8" s="1"/>
  <c r="M47" i="10"/>
  <c r="H24" i="4"/>
  <c r="H16" i="8" s="1"/>
  <c r="H22" i="4"/>
  <c r="H14" i="8" s="1"/>
  <c r="J23" i="4"/>
  <c r="J15" i="8" s="1"/>
  <c r="D23" i="4"/>
  <c r="D15" i="8" s="1"/>
  <c r="G22" i="4"/>
  <c r="G14" i="8" s="1"/>
  <c r="F22" i="4"/>
  <c r="F14" i="8" s="1"/>
  <c r="I21" i="4"/>
  <c r="I13" i="8" s="1"/>
  <c r="G23" i="4"/>
  <c r="G15" i="8" s="1"/>
  <c r="J22" i="4"/>
  <c r="J14" i="8" s="1"/>
  <c r="H23" i="4"/>
  <c r="H15" i="8" s="1"/>
  <c r="K22" i="4"/>
  <c r="K14" i="8" s="1"/>
  <c r="F23" i="4"/>
  <c r="F15" i="8" s="1"/>
  <c r="I22" i="4"/>
  <c r="I14" i="8" s="1"/>
  <c r="E22" i="4"/>
  <c r="E14" i="8" s="1"/>
  <c r="O75" i="10"/>
  <c r="D24" i="7"/>
  <c r="D37" i="8" s="1"/>
  <c r="E23" i="7"/>
  <c r="E36" i="8" s="1"/>
  <c r="H23" i="7"/>
  <c r="H36" i="8" s="1"/>
  <c r="I23" i="7"/>
  <c r="I36" i="8" s="1"/>
  <c r="D23" i="7"/>
  <c r="D36" i="8" s="1"/>
  <c r="J23" i="6"/>
  <c r="J29" i="8" s="1"/>
  <c r="F47" i="10"/>
  <c r="I46" i="10"/>
  <c r="K47" i="10"/>
  <c r="H47" i="10"/>
  <c r="I47" i="10"/>
  <c r="J47" i="10"/>
  <c r="J24" i="7"/>
  <c r="J37" i="8" s="1"/>
  <c r="I24" i="7"/>
  <c r="I37" i="8" s="1"/>
  <c r="K24" i="7"/>
  <c r="K37" i="8" s="1"/>
  <c r="O51" i="9"/>
  <c r="O48" i="9"/>
  <c r="I22" i="7"/>
  <c r="I35" i="8" s="1"/>
  <c r="K23" i="7"/>
  <c r="K36" i="8" s="1"/>
  <c r="E24" i="7"/>
  <c r="E37" i="8" s="1"/>
  <c r="F24" i="7"/>
  <c r="F37" i="8" s="1"/>
  <c r="J23" i="7"/>
  <c r="J36" i="8" s="1"/>
  <c r="G47" i="10"/>
  <c r="H24" i="6"/>
  <c r="H30" i="8" s="1"/>
  <c r="O74" i="10"/>
  <c r="J47" i="9"/>
  <c r="M46" i="9"/>
  <c r="G46" i="9"/>
  <c r="J45" i="9"/>
  <c r="M44" i="9"/>
  <c r="G44" i="9"/>
  <c r="I47" i="9"/>
  <c r="L46" i="9"/>
  <c r="F46" i="9"/>
  <c r="I45" i="9"/>
  <c r="L44" i="9"/>
  <c r="F44" i="9"/>
  <c r="H47" i="9"/>
  <c r="K46" i="9"/>
  <c r="E46" i="9"/>
  <c r="H45" i="9"/>
  <c r="K44" i="9"/>
  <c r="E44" i="9"/>
  <c r="K47" i="9"/>
  <c r="E47" i="9"/>
  <c r="H46" i="9"/>
  <c r="K45" i="9"/>
  <c r="E45" i="9"/>
  <c r="H44" i="9"/>
  <c r="F47" i="9"/>
  <c r="F45" i="9"/>
  <c r="J46" i="9"/>
  <c r="J44" i="9"/>
  <c r="I46" i="9"/>
  <c r="I44" i="9"/>
  <c r="L47" i="9"/>
  <c r="L45" i="9"/>
  <c r="G47" i="9"/>
  <c r="M45" i="9"/>
  <c r="G45" i="9"/>
  <c r="M47" i="9"/>
  <c r="F22" i="6" l="1"/>
  <c r="F28" i="8" s="1"/>
  <c r="D22" i="6"/>
  <c r="D28" i="8" s="1"/>
  <c r="E22" i="6"/>
  <c r="E28" i="8" s="1"/>
  <c r="D23" i="6"/>
  <c r="D29" i="8" s="1"/>
  <c r="E24" i="6"/>
  <c r="E30" i="8" s="1"/>
  <c r="M36" i="8"/>
  <c r="E22" i="3"/>
  <c r="E7" i="8" s="1"/>
  <c r="M34" i="8"/>
  <c r="H23" i="3"/>
  <c r="H8" i="8" s="1"/>
  <c r="D24" i="6"/>
  <c r="D30" i="8" s="1"/>
  <c r="L24" i="6"/>
  <c r="L30" i="8" s="1"/>
  <c r="K22" i="6"/>
  <c r="K28" i="8" s="1"/>
  <c r="F24" i="6"/>
  <c r="F30" i="8" s="1"/>
  <c r="K24" i="6"/>
  <c r="K30" i="8" s="1"/>
  <c r="J22" i="6"/>
  <c r="J28" i="8" s="1"/>
  <c r="F23" i="6"/>
  <c r="F29" i="8" s="1"/>
  <c r="E23" i="6"/>
  <c r="E29" i="8" s="1"/>
  <c r="K23" i="6"/>
  <c r="K29" i="8" s="1"/>
  <c r="G23" i="6"/>
  <c r="G29" i="8" s="1"/>
  <c r="L22" i="6"/>
  <c r="L28" i="8" s="1"/>
  <c r="J21" i="6"/>
  <c r="J27" i="8" s="1"/>
  <c r="L21" i="6"/>
  <c r="L27" i="8" s="1"/>
  <c r="D21" i="6"/>
  <c r="D27" i="8" s="1"/>
  <c r="I21" i="6"/>
  <c r="I27" i="8" s="1"/>
  <c r="E21" i="6"/>
  <c r="E27" i="8" s="1"/>
  <c r="F21" i="6"/>
  <c r="F27" i="8" s="1"/>
  <c r="I22" i="6"/>
  <c r="I28" i="8" s="1"/>
  <c r="G21" i="6"/>
  <c r="G27" i="8" s="1"/>
  <c r="L23" i="6"/>
  <c r="L29" i="8" s="1"/>
  <c r="M29" i="8" s="1"/>
  <c r="J24" i="6"/>
  <c r="J30" i="8" s="1"/>
  <c r="H22" i="6"/>
  <c r="H28" i="8" s="1"/>
  <c r="I24" i="6"/>
  <c r="I30" i="8" s="1"/>
  <c r="H21" i="6"/>
  <c r="H27" i="8" s="1"/>
  <c r="G24" i="6"/>
  <c r="G30" i="8" s="1"/>
  <c r="G22" i="6"/>
  <c r="G28" i="8" s="1"/>
  <c r="H23" i="6"/>
  <c r="H29" i="8" s="1"/>
  <c r="L23" i="4"/>
  <c r="L15" i="8" s="1"/>
  <c r="J24" i="4"/>
  <c r="J16" i="8" s="1"/>
  <c r="G21" i="4"/>
  <c r="G13" i="8" s="1"/>
  <c r="L22" i="4"/>
  <c r="L14" i="8" s="1"/>
  <c r="E23" i="4"/>
  <c r="E15" i="8" s="1"/>
  <c r="F21" i="4"/>
  <c r="F13" i="8" s="1"/>
  <c r="D22" i="4"/>
  <c r="D14" i="8" s="1"/>
  <c r="I23" i="4"/>
  <c r="I15" i="8" s="1"/>
  <c r="E24" i="4"/>
  <c r="E16" i="8" s="1"/>
  <c r="H21" i="4"/>
  <c r="H13" i="8" s="1"/>
  <c r="D21" i="4"/>
  <c r="D13" i="8" s="1"/>
  <c r="K21" i="4"/>
  <c r="K13" i="8" s="1"/>
  <c r="K24" i="4"/>
  <c r="K16" i="8" s="1"/>
  <c r="J21" i="4"/>
  <c r="J13" i="8" s="1"/>
  <c r="E21" i="4"/>
  <c r="E13" i="8" s="1"/>
  <c r="M14" i="8"/>
  <c r="L24" i="4"/>
  <c r="L16" i="8" s="1"/>
  <c r="M16" i="8" s="1"/>
  <c r="L21" i="4"/>
  <c r="L13" i="8" s="1"/>
  <c r="M13" i="8" s="1"/>
  <c r="D24" i="4"/>
  <c r="D16" i="8" s="1"/>
  <c r="F24" i="4"/>
  <c r="F16" i="8" s="1"/>
  <c r="G24" i="4"/>
  <c r="G16" i="8" s="1"/>
  <c r="L22" i="3"/>
  <c r="L7" i="8" s="1"/>
  <c r="J22" i="3"/>
  <c r="J7" i="8" s="1"/>
  <c r="D22" i="3"/>
  <c r="D7" i="8" s="1"/>
  <c r="G22" i="3"/>
  <c r="G7" i="8" s="1"/>
  <c r="I22" i="3"/>
  <c r="I7" i="8" s="1"/>
  <c r="H22" i="3"/>
  <c r="H7" i="8" s="1"/>
  <c r="K22" i="3"/>
  <c r="K7" i="8" s="1"/>
  <c r="F22" i="3"/>
  <c r="F7" i="8" s="1"/>
  <c r="L23" i="3"/>
  <c r="L8" i="8" s="1"/>
  <c r="F23" i="3"/>
  <c r="F8" i="8" s="1"/>
  <c r="D23" i="3"/>
  <c r="D8" i="8" s="1"/>
  <c r="K23" i="3"/>
  <c r="K8" i="8" s="1"/>
  <c r="L21" i="3"/>
  <c r="L6" i="8" s="1"/>
  <c r="F24" i="3"/>
  <c r="F9" i="8" s="1"/>
  <c r="E24" i="3"/>
  <c r="E9" i="8" s="1"/>
  <c r="I23" i="3"/>
  <c r="I8" i="8" s="1"/>
  <c r="D21" i="3"/>
  <c r="D6" i="8" s="1"/>
  <c r="J23" i="3"/>
  <c r="J8" i="8" s="1"/>
  <c r="H21" i="3"/>
  <c r="H6" i="8" s="1"/>
  <c r="J21" i="3"/>
  <c r="J6" i="8" s="1"/>
  <c r="K21" i="3"/>
  <c r="K6" i="8" s="1"/>
  <c r="G23" i="3"/>
  <c r="G8" i="8" s="1"/>
  <c r="G21" i="3"/>
  <c r="G6" i="8" s="1"/>
  <c r="I21" i="3"/>
  <c r="I6" i="8" s="1"/>
  <c r="E23" i="3"/>
  <c r="E8" i="8" s="1"/>
  <c r="L24" i="3"/>
  <c r="L9" i="8" s="1"/>
  <c r="K24" i="3"/>
  <c r="K9" i="8" s="1"/>
  <c r="E21" i="3"/>
  <c r="E6" i="8" s="1"/>
  <c r="J24" i="3"/>
  <c r="J9" i="8" s="1"/>
  <c r="F21" i="3"/>
  <c r="F6" i="8" s="1"/>
  <c r="G24" i="3"/>
  <c r="G9" i="8" s="1"/>
  <c r="D24" i="3"/>
  <c r="D9" i="8" s="1"/>
  <c r="I24" i="3"/>
  <c r="I9" i="8" s="1"/>
  <c r="H24" i="3"/>
  <c r="H9" i="8" s="1"/>
  <c r="M21" i="8"/>
  <c r="J24" i="5"/>
  <c r="J23" i="8" s="1"/>
  <c r="F24" i="5"/>
  <c r="F23" i="8" s="1"/>
  <c r="E24" i="5"/>
  <c r="E23" i="8" s="1"/>
  <c r="L24" i="5"/>
  <c r="L23" i="8" s="1"/>
  <c r="G24" i="5"/>
  <c r="G23" i="8" s="1"/>
  <c r="I24" i="5"/>
  <c r="I23" i="8" s="1"/>
  <c r="H24" i="5"/>
  <c r="H23" i="8" s="1"/>
  <c r="K24" i="5"/>
  <c r="K23" i="8" s="1"/>
  <c r="M35" i="8"/>
  <c r="N35" i="8" s="1"/>
  <c r="M37" i="8"/>
  <c r="H24" i="9"/>
  <c r="K23" i="9"/>
  <c r="E23" i="9"/>
  <c r="H22" i="9"/>
  <c r="K21" i="9"/>
  <c r="E21" i="9"/>
  <c r="M24" i="9"/>
  <c r="G24" i="9"/>
  <c r="J23" i="9"/>
  <c r="M22" i="9"/>
  <c r="G22" i="9"/>
  <c r="J21" i="9"/>
  <c r="L24" i="9"/>
  <c r="F24" i="9"/>
  <c r="I23" i="9"/>
  <c r="L22" i="9"/>
  <c r="F22" i="9"/>
  <c r="I21" i="9"/>
  <c r="I24" i="9"/>
  <c r="L23" i="9"/>
  <c r="F23" i="9"/>
  <c r="I22" i="9"/>
  <c r="L21" i="9"/>
  <c r="F21" i="9"/>
  <c r="K24" i="9"/>
  <c r="K22" i="9"/>
  <c r="J24" i="9"/>
  <c r="J22" i="9"/>
  <c r="E24" i="9"/>
  <c r="E22" i="9"/>
  <c r="H23" i="9"/>
  <c r="H21" i="9"/>
  <c r="M23" i="9"/>
  <c r="G21" i="9"/>
  <c r="G23" i="9"/>
  <c r="M21" i="9"/>
  <c r="M20" i="8"/>
  <c r="M22" i="8"/>
  <c r="H24" i="10"/>
  <c r="K23" i="10"/>
  <c r="E23" i="10"/>
  <c r="H22" i="10"/>
  <c r="K21" i="10"/>
  <c r="E21" i="10"/>
  <c r="M24" i="10"/>
  <c r="G24" i="10"/>
  <c r="J23" i="10"/>
  <c r="M22" i="10"/>
  <c r="G22" i="10"/>
  <c r="J21" i="10"/>
  <c r="L24" i="10"/>
  <c r="F24" i="10"/>
  <c r="I23" i="10"/>
  <c r="L22" i="10"/>
  <c r="F22" i="10"/>
  <c r="I21" i="10"/>
  <c r="I24" i="10"/>
  <c r="L23" i="10"/>
  <c r="F23" i="10"/>
  <c r="I22" i="10"/>
  <c r="L21" i="10"/>
  <c r="F21" i="10"/>
  <c r="E24" i="10"/>
  <c r="E22" i="10"/>
  <c r="M23" i="10"/>
  <c r="M21" i="10"/>
  <c r="H23" i="10"/>
  <c r="H21" i="10"/>
  <c r="K24" i="10"/>
  <c r="K22" i="10"/>
  <c r="J22" i="10"/>
  <c r="J24" i="10"/>
  <c r="G23" i="10"/>
  <c r="G21" i="10"/>
  <c r="M30" i="8" l="1"/>
  <c r="N37" i="8"/>
  <c r="M27" i="8"/>
  <c r="M15" i="8"/>
  <c r="N34" i="8"/>
  <c r="N36" i="8"/>
  <c r="M7" i="8"/>
  <c r="M28" i="8"/>
  <c r="N16" i="8"/>
  <c r="M8" i="8"/>
  <c r="M6" i="8"/>
  <c r="M9" i="8"/>
  <c r="M23" i="8"/>
  <c r="N21" i="8" s="1"/>
  <c r="Q48" i="8"/>
  <c r="P48" i="8"/>
  <c r="I89" i="8"/>
  <c r="R48" i="8"/>
  <c r="N15" i="8"/>
  <c r="N14" i="8"/>
  <c r="N13" i="8"/>
  <c r="N29" i="8" l="1"/>
  <c r="N30" i="8"/>
  <c r="N22" i="8"/>
  <c r="S48" i="8"/>
  <c r="L101" i="8"/>
  <c r="D89" i="8"/>
  <c r="I102" i="8"/>
  <c r="N20" i="8"/>
  <c r="D87" i="8" s="1"/>
  <c r="L89" i="8"/>
  <c r="N28" i="8"/>
  <c r="N27" i="8"/>
  <c r="D99" i="8" s="1"/>
  <c r="N23" i="8"/>
  <c r="D102" i="8"/>
  <c r="I101" i="8"/>
  <c r="M101" i="8" s="1"/>
  <c r="D101" i="8"/>
  <c r="L102" i="8"/>
  <c r="M102" i="8" s="1"/>
  <c r="N8" i="8"/>
  <c r="N9" i="8"/>
  <c r="N6" i="8"/>
  <c r="D85" i="8" s="1"/>
  <c r="N7" i="8"/>
  <c r="P46" i="8"/>
  <c r="Q46" i="8"/>
  <c r="L98" i="8"/>
  <c r="L95" i="8"/>
  <c r="L96" i="8"/>
  <c r="I95" i="8"/>
  <c r="D96" i="8"/>
  <c r="L86" i="8"/>
  <c r="I86" i="8"/>
  <c r="R45" i="8"/>
  <c r="P45" i="8"/>
  <c r="D95" i="8"/>
  <c r="D86" i="8"/>
  <c r="I96" i="8"/>
  <c r="Q45" i="8"/>
  <c r="M89" i="8"/>
  <c r="D100" i="8" l="1"/>
  <c r="Q47" i="8"/>
  <c r="L88" i="8"/>
  <c r="R47" i="8"/>
  <c r="I100" i="8"/>
  <c r="L87" i="8"/>
  <c r="D88" i="8"/>
  <c r="I99" i="8"/>
  <c r="I87" i="8"/>
  <c r="M87" i="8" s="1"/>
  <c r="D97" i="8"/>
  <c r="P47" i="8"/>
  <c r="I97" i="8"/>
  <c r="R46" i="8"/>
  <c r="D98" i="8"/>
  <c r="I88" i="8"/>
  <c r="M88" i="8" s="1"/>
  <c r="I98" i="8"/>
  <c r="M98" i="8" s="1"/>
  <c r="L97" i="8"/>
  <c r="L100" i="8"/>
  <c r="L99" i="8"/>
  <c r="S46" i="8"/>
  <c r="L85" i="8"/>
  <c r="M86" i="8"/>
  <c r="S47" i="8"/>
  <c r="D93" i="8"/>
  <c r="M96" i="8"/>
  <c r="I94" i="8"/>
  <c r="I85" i="8"/>
  <c r="L93" i="8"/>
  <c r="L94" i="8"/>
  <c r="R44" i="8"/>
  <c r="P44" i="8"/>
  <c r="I93" i="8"/>
  <c r="Q44" i="8"/>
  <c r="D94" i="8"/>
  <c r="M95" i="8"/>
  <c r="S45" i="8"/>
  <c r="M99" i="8" l="1"/>
  <c r="M100" i="8"/>
  <c r="M97" i="8"/>
  <c r="M85" i="8"/>
  <c r="M94" i="8"/>
  <c r="S44" i="8"/>
  <c r="T46" i="8" s="1"/>
  <c r="M93" i="8"/>
  <c r="T44" i="8" l="1"/>
  <c r="L91" i="8" s="1"/>
  <c r="T45" i="8"/>
  <c r="T47" i="8"/>
  <c r="T48" i="8"/>
  <c r="I104" i="8" l="1"/>
  <c r="L92" i="8"/>
  <c r="E92" i="8"/>
  <c r="D104" i="8"/>
  <c r="L90" i="8"/>
  <c r="I103" i="8"/>
  <c r="M103" i="8" s="1"/>
  <c r="N104" i="8" s="1"/>
  <c r="D92" i="8"/>
  <c r="E104" i="8"/>
  <c r="E103" i="8"/>
  <c r="I92" i="8"/>
  <c r="L104" i="8"/>
  <c r="M104" i="8" s="1"/>
  <c r="E90" i="8"/>
  <c r="U77" i="8"/>
  <c r="U78" i="8"/>
  <c r="D91" i="8"/>
  <c r="D90" i="8"/>
  <c r="L103" i="8"/>
  <c r="D103" i="8"/>
  <c r="I90" i="8"/>
  <c r="E91" i="8"/>
  <c r="I91" i="8"/>
  <c r="M91" i="8" s="1"/>
  <c r="M92" i="8" l="1"/>
  <c r="N92" i="8" s="1"/>
  <c r="M90" i="8"/>
  <c r="N95" i="8"/>
  <c r="N99" i="8"/>
  <c r="N96" i="8"/>
  <c r="N97" i="8"/>
  <c r="N100" i="8"/>
  <c r="N94" i="8"/>
  <c r="N103" i="8"/>
  <c r="N102" i="8"/>
  <c r="N93" i="8"/>
  <c r="F66" i="8" s="1"/>
  <c r="N98" i="8"/>
  <c r="N101" i="8"/>
  <c r="N90" i="8"/>
  <c r="N87" i="8"/>
  <c r="N85" i="8"/>
  <c r="N91" i="8"/>
  <c r="N86" i="8" l="1"/>
  <c r="N88" i="8"/>
  <c r="N89" i="8"/>
  <c r="L55" i="8" s="1"/>
  <c r="D59" i="8"/>
  <c r="D60" i="8" s="1"/>
  <c r="I59" i="8"/>
  <c r="I60" i="8" s="1"/>
  <c r="I66" i="8"/>
  <c r="I73" i="8"/>
  <c r="G68" i="8"/>
  <c r="H77" i="8"/>
  <c r="J67" i="8"/>
  <c r="J77" i="8"/>
  <c r="E69" i="8"/>
  <c r="L72" i="8"/>
  <c r="I67" i="8"/>
  <c r="F75" i="8"/>
  <c r="D69" i="8"/>
  <c r="I68" i="8"/>
  <c r="F77" i="8"/>
  <c r="J69" i="8"/>
  <c r="L71" i="8"/>
  <c r="D68" i="8"/>
  <c r="H69" i="8"/>
  <c r="I77" i="8"/>
  <c r="E72" i="8"/>
  <c r="J68" i="8"/>
  <c r="G70" i="8"/>
  <c r="H78" i="8"/>
  <c r="D77" i="8"/>
  <c r="K72" i="8"/>
  <c r="L69" i="8"/>
  <c r="F67" i="8"/>
  <c r="K73" i="8"/>
  <c r="K68" i="8"/>
  <c r="I69" i="8"/>
  <c r="L73" i="8"/>
  <c r="F68" i="8"/>
  <c r="E78" i="8"/>
  <c r="G69" i="8"/>
  <c r="L78" i="8"/>
  <c r="K69" i="8"/>
  <c r="D78" i="8"/>
  <c r="K77" i="8"/>
  <c r="G66" i="8"/>
  <c r="G74" i="8"/>
  <c r="I70" i="8"/>
  <c r="L67" i="8"/>
  <c r="K78" i="8"/>
  <c r="D75" i="8"/>
  <c r="F69" i="8"/>
  <c r="D66" i="8"/>
  <c r="D72" i="8"/>
  <c r="H66" i="8"/>
  <c r="K71" i="8"/>
  <c r="J78" i="8"/>
  <c r="J75" i="8"/>
  <c r="G72" i="8"/>
  <c r="L66" i="8"/>
  <c r="D73" i="8"/>
  <c r="K66" i="8"/>
  <c r="H67" i="8"/>
  <c r="G77" i="8"/>
  <c r="I72" i="8"/>
  <c r="L68" i="8"/>
  <c r="D67" i="8"/>
  <c r="E77" i="8"/>
  <c r="F72" i="8"/>
  <c r="J66" i="8"/>
  <c r="J72" i="8"/>
  <c r="E67" i="8"/>
  <c r="H72" i="8"/>
  <c r="E75" i="8"/>
  <c r="E68" i="8"/>
  <c r="E66" i="8"/>
  <c r="F73" i="8"/>
  <c r="G67" i="8"/>
  <c r="G73" i="8"/>
  <c r="K67" i="8"/>
  <c r="E73" i="8"/>
  <c r="H68" i="8"/>
  <c r="J71" i="8"/>
  <c r="L70" i="8"/>
  <c r="G78" i="8"/>
  <c r="I71" i="8"/>
  <c r="K75" i="8"/>
  <c r="K74" i="8"/>
  <c r="H71" i="8"/>
  <c r="F70" i="8"/>
  <c r="G71" i="8"/>
  <c r="F78" i="8"/>
  <c r="I78" i="8"/>
  <c r="L74" i="8"/>
  <c r="E70" i="8"/>
  <c r="F71" i="8"/>
  <c r="D70" i="8"/>
  <c r="D74" i="8"/>
  <c r="H70" i="8"/>
  <c r="H74" i="8"/>
  <c r="K70" i="8"/>
  <c r="J73" i="8"/>
  <c r="H73" i="8"/>
  <c r="I74" i="8"/>
  <c r="L77" i="8"/>
  <c r="D71" i="8"/>
  <c r="J70" i="8"/>
  <c r="J74" i="8"/>
  <c r="E71" i="8"/>
  <c r="H75" i="8"/>
  <c r="I75" i="8"/>
  <c r="L75" i="8"/>
  <c r="E74" i="8"/>
  <c r="F74" i="8"/>
  <c r="G75" i="8"/>
  <c r="I61" i="8"/>
  <c r="D58" i="8"/>
  <c r="U56" i="8"/>
  <c r="U61" i="8"/>
  <c r="I58" i="8"/>
  <c r="L61" i="8"/>
  <c r="U58" i="8"/>
  <c r="D57" i="8"/>
  <c r="I54" i="8"/>
  <c r="E61" i="8"/>
  <c r="L58" i="8"/>
  <c r="I55" i="8"/>
  <c r="E54" i="8"/>
  <c r="D61" i="8"/>
  <c r="I56" i="8"/>
  <c r="D54" i="8"/>
  <c r="D56" i="8"/>
  <c r="U54" i="8"/>
  <c r="I57" i="8"/>
  <c r="L54" i="8"/>
  <c r="I62" i="8"/>
  <c r="U57" i="8"/>
  <c r="E55" i="8" l="1"/>
  <c r="D55" i="8"/>
  <c r="D62" i="8"/>
  <c r="E58" i="8"/>
  <c r="E59" i="8"/>
  <c r="E60" i="8" s="1"/>
  <c r="U55" i="8"/>
  <c r="L57" i="8"/>
  <c r="L56" i="8"/>
  <c r="E57" i="8"/>
  <c r="L62" i="8"/>
  <c r="L59" i="8"/>
  <c r="L60" i="8" s="1"/>
  <c r="U60" i="8"/>
  <c r="E56" i="8"/>
  <c r="E62" i="8"/>
  <c r="U62" i="8"/>
</calcChain>
</file>

<file path=xl/sharedStrings.xml><?xml version="1.0" encoding="utf-8"?>
<sst xmlns="http://schemas.openxmlformats.org/spreadsheetml/2006/main" count="634" uniqueCount="181">
  <si>
    <t>📊 CLASSEMENT GÉNÉRAL - PHASE 1</t>
  </si>
  <si>
    <t>⚠️ Ce tableau récapitule les résultats de chaque poule. Saisir manuellement les équipes dans l'ordre (Pts puis GA) pour identifier les qualifiés.</t>
  </si>
  <si>
    <t>POULE A</t>
  </si>
  <si>
    <t>Pos</t>
  </si>
  <si>
    <t>Équipe</t>
  </si>
  <si>
    <t>J</t>
  </si>
  <si>
    <t>V</t>
  </si>
  <si>
    <t>N</t>
  </si>
  <si>
    <t>D</t>
  </si>
  <si>
    <t>Pts</t>
  </si>
  <si>
    <t>JA</t>
  </si>
  <si>
    <t>JC</t>
  </si>
  <si>
    <t>GA</t>
  </si>
  <si>
    <t>POULE B</t>
  </si>
  <si>
    <t>POULE C</t>
  </si>
  <si>
    <t>POULE D</t>
  </si>
  <si>
    <t>POULE E</t>
  </si>
  <si>
    <t>🏆 QUALIFICATIONS POUR LA PHASE 2</t>
  </si>
  <si>
    <t>→ Se qualifient : Les 5 PREMIERS de chaque poule + Les 3 MEILLEURS DEUXIÈMES (sur 5) selon classement Pts+GA</t>
  </si>
  <si>
    <t>→ Les 12 autres (2 derniers de chaque poule sauf les 3 meilleurs 2èmes) vont en Phase 2 Consolante</t>
  </si>
  <si>
    <t>A</t>
  </si>
  <si>
    <t>B</t>
  </si>
  <si>
    <t>C</t>
  </si>
  <si>
    <t>E</t>
  </si>
  <si>
    <t>🏆 TABLEAU DE QUALIFICATION — RÉCAPITULATIF</t>
  </si>
  <si>
    <t>🎲 TIRAGE AU SORT — PHASE 2</t>
  </si>
  <si>
    <t>✅  PHASE 2 TOP  —  8 équipes qualifiées</t>
  </si>
  <si>
    <t>Top: OK (0 conflit)   |   Consolante: OK (0 conflit)</t>
  </si>
  <si>
    <t>Rang</t>
  </si>
  <si>
    <t>Poule</t>
  </si>
  <si>
    <t>✅  PHASE 2 TOP  —  2 poules de 4</t>
  </si>
  <si>
    <t>Poule F</t>
  </si>
  <si>
    <t>N°</t>
  </si>
  <si>
    <t>Ph.1</t>
  </si>
  <si>
    <t>Équipe 6</t>
  </si>
  <si>
    <t>Équipe 10</t>
  </si>
  <si>
    <t>Équipe 1</t>
  </si>
  <si>
    <t>Équipe 13</t>
  </si>
  <si>
    <t>Poule G</t>
  </si>
  <si>
    <t>🥉  PHASE 2 CONSOLANTE  —  12 équipes</t>
  </si>
  <si>
    <t>Équipe 2</t>
  </si>
  <si>
    <t>Équipe 17</t>
  </si>
  <si>
    <t>Équipe 9</t>
  </si>
  <si>
    <t>Équipe 5</t>
  </si>
  <si>
    <t>🥉  PHASE 2 CONSOLANTE  —  3 poules de 4</t>
  </si>
  <si>
    <t>Poule H</t>
  </si>
  <si>
    <t>Équipe 12</t>
  </si>
  <si>
    <t>Équipe 18</t>
  </si>
  <si>
    <t>Équipe 8</t>
  </si>
  <si>
    <t>Équipe 14</t>
  </si>
  <si>
    <t>Poule I</t>
  </si>
  <si>
    <t>ℹ️  Les tableaux se mettent à jour automatiquement à chaque saisie de score dans les onglets de poule.</t>
  </si>
  <si>
    <t>Équipe 7</t>
  </si>
  <si>
    <t>Équipe 19</t>
  </si>
  <si>
    <t>Équipe 15</t>
  </si>
  <si>
    <t>Équipe 4</t>
  </si>
  <si>
    <t>Poule J</t>
  </si>
  <si>
    <t>Équipe 20</t>
  </si>
  <si>
    <t>Équipe 11</t>
  </si>
  <si>
    <t>Équipe 16</t>
  </si>
  <si>
    <t>Équipe 3</t>
  </si>
  <si>
    <t>🏓 TOURNOI DE PADEL - GUIDE D'UTILISATION</t>
  </si>
  <si>
    <t>STRUCTURE DU TOURNOI</t>
  </si>
  <si>
    <t>Phase 1</t>
  </si>
  <si>
    <t>5 poules de 4 équipes, 3 matchs chacune</t>
  </si>
  <si>
    <t>Phase 2 (Top)</t>
  </si>
  <si>
    <t>2 poules de 4 équipes: Top 5 + 3 meilleurs 2èmes</t>
  </si>
  <si>
    <t>Phase 2 (Consolante)</t>
  </si>
  <si>
    <t>3 poules de 4 équipes avec les 12 autres</t>
  </si>
  <si>
    <t>Phases Finales</t>
  </si>
  <si>
    <t>Demi-finales, Finale et matchs de classement</t>
  </si>
  <si>
    <t>COMMENT UTILISER CE FICHIER</t>
  </si>
  <si>
    <t>Étape 1</t>
  </si>
  <si>
    <t>Onglet '📝 Équipes' → Saisir les noms des 20 équipes</t>
  </si>
  <si>
    <t>Étape 2</t>
  </si>
  <si>
    <t>Onglets 'Phase 1 - Poule A/B/C/D/E' → Saisir les scores (cellules bleues)</t>
  </si>
  <si>
    <t>Étape 3</t>
  </si>
  <si>
    <t>Onglet '📊 Classement Phase 1' → Vérifier le classement automatique</t>
  </si>
  <si>
    <t>Étape 4</t>
  </si>
  <si>
    <t>Onglet '🏆 Phase 2 Top' → Remplir les poules (tirage au sort manuellement)</t>
  </si>
  <si>
    <t>Étape 5</t>
  </si>
  <si>
    <t>Onglet '🥉 Phase 2 Consolante' → Idem pour les consolantes</t>
  </si>
  <si>
    <t>Étape 6</t>
  </si>
  <si>
    <t>Onglet '🏅 Phases Finales' → Saisir les résultats des demi-finales et finale</t>
  </si>
  <si>
    <t>SYSTÈME DE POINTS</t>
  </si>
  <si>
    <t>Victoire</t>
  </si>
  <si>
    <t>2 points</t>
  </si>
  <si>
    <t>Match nul</t>
  </si>
  <si>
    <t>1 point chaque équipe</t>
  </si>
  <si>
    <t>Défaite</t>
  </si>
  <si>
    <t>0 point</t>
  </si>
  <si>
    <t>Départage</t>
  </si>
  <si>
    <t>Goal average (jeux pour - jeux contre)</t>
  </si>
  <si>
    <t>20 ÉQUIPES DU TOURNOI</t>
  </si>
  <si>
    <t>Numéro</t>
  </si>
  <si>
    <t>Nom de l'équipe</t>
  </si>
  <si>
    <t>PHASE 1 - POULE A</t>
  </si>
  <si>
    <t>ÉQUIPES DE LA POULE</t>
  </si>
  <si>
    <t>Match</t>
  </si>
  <si>
    <t>Score 1</t>
  </si>
  <si>
    <t>Score 2</t>
  </si>
  <si>
    <t>Résultat</t>
  </si>
  <si>
    <t>Match 1</t>
  </si>
  <si>
    <t>Match 2</t>
  </si>
  <si>
    <t>Match 3</t>
  </si>
  <si>
    <t>Match 4</t>
  </si>
  <si>
    <t>Match 5</t>
  </si>
  <si>
    <t>Match 6</t>
  </si>
  <si>
    <t>CLASSEMENT POULE</t>
  </si>
  <si>
    <t>ℹ️ Le classement est calculé automatiquement. En cas d'égalité de points, comparez le Goal Average (GA).</t>
  </si>
  <si>
    <t>PHASE 1 - POULE B</t>
  </si>
  <si>
    <t>PHASE 1 - POULE C</t>
  </si>
  <si>
    <t>PHASE 1 - POULE D</t>
  </si>
  <si>
    <t>PHASE 1 - POULE E</t>
  </si>
  <si>
    <t>🏆 PHASE 2 - TABLEAU PRINCIPAL (8 équipes)</t>
  </si>
  <si>
    <t>Placer ici les 5 premiers de poule + 3 meilleurs 2èmes (tirage au sort en 2 groupes de 4, en évitant rematches)</t>
  </si>
  <si>
    <t>POULE I</t>
  </si>
  <si>
    <t>Équipes:</t>
  </si>
  <si>
    <t>Saisir les noms issus du classement Phase 1 (cellules bleues ci-dessous)</t>
  </si>
  <si>
    <t>T1</t>
  </si>
  <si>
    <t>T2</t>
  </si>
  <si>
    <t>T3</t>
  </si>
  <si>
    <t>T4</t>
  </si>
  <si>
    <t>Eq.1</t>
  </si>
  <si>
    <t>Eq.2</t>
  </si>
  <si>
    <t>M1</t>
  </si>
  <si>
    <t>M2</t>
  </si>
  <si>
    <t>M3</t>
  </si>
  <si>
    <t>M4</t>
  </si>
  <si>
    <t>M5</t>
  </si>
  <si>
    <t>M6</t>
  </si>
  <si>
    <t>CLASSEMENT</t>
  </si>
  <si>
    <t>POULE II</t>
  </si>
  <si>
    <t>T5</t>
  </si>
  <si>
    <t>T6</t>
  </si>
  <si>
    <t>T7</t>
  </si>
  <si>
    <t>T8</t>
  </si>
  <si>
    <t>🥉 PHASE 2 - CONSOLANTE (12 équipes)</t>
  </si>
  <si>
    <t>Placer ici les 12 équipes restantes en 3 poules de 4 (tirage en évitant les rematches de Phase 1)</t>
  </si>
  <si>
    <t>POULE III</t>
  </si>
  <si>
    <t>T9</t>
  </si>
  <si>
    <t>T10</t>
  </si>
  <si>
    <t>T11</t>
  </si>
  <si>
    <t>T12</t>
  </si>
  <si>
    <t>🏅 PHASES FINALES - TABLEAU PRINCIPAL</t>
  </si>
  <si>
    <t>DEMI-FINALES</t>
  </si>
  <si>
    <t>1er Poule I vs 2ème Poule II  |  1er Poule II vs 2ème Poule I</t>
  </si>
  <si>
    <t>Vainqueur</t>
  </si>
  <si>
    <t>Demi-Finale 1</t>
  </si>
  <si>
    <t>1er Poule I</t>
  </si>
  <si>
    <t>2ème Poule II</t>
  </si>
  <si>
    <t>Demi-Finale 2</t>
  </si>
  <si>
    <t>1er Poule II</t>
  </si>
  <si>
    <t>2ème Poule I</t>
  </si>
  <si>
    <t>🥇 GRANDE FINALE</t>
  </si>
  <si>
    <t>Vainqueur DF1 vs Vainqueur DF2</t>
  </si>
  <si>
    <t>Finale</t>
  </si>
  <si>
    <t>Vainqueur DF1</t>
  </si>
  <si>
    <t>Vainqueur DF2</t>
  </si>
  <si>
    <t>🥉 MATCH 3ème PLACE</t>
  </si>
  <si>
    <t>3ème Poule I vs 4ème Poule II</t>
  </si>
  <si>
    <t>3ème place</t>
  </si>
  <si>
    <t>3ème Poule I</t>
  </si>
  <si>
    <t>4ème Poule II</t>
  </si>
  <si>
    <t>Match 5-6ème</t>
  </si>
  <si>
    <t>4ème Poule I vs 3ème Poule II</t>
  </si>
  <si>
    <t>5-6ème</t>
  </si>
  <si>
    <t>4ème Poule I</t>
  </si>
  <si>
    <t>3ème Poule II</t>
  </si>
  <si>
    <t>🥉 FINALES CONSOLANTES</t>
  </si>
  <si>
    <t>Groupe des 1ers</t>
  </si>
  <si>
    <t>3 meilleurs 1ers de poule consolante s'affrontent</t>
  </si>
  <si>
    <t>Eq.A</t>
  </si>
  <si>
    <t>Eq.B</t>
  </si>
  <si>
    <t>Eq.C</t>
  </si>
  <si>
    <t>Groupe des 2èmes</t>
  </si>
  <si>
    <t>3 meilleurs 2èmes de poule consolante s'affrontent</t>
  </si>
  <si>
    <t>Groupe des 3èmes</t>
  </si>
  <si>
    <t>3 meilleurs 3èmes de poule consolante s'affrontent</t>
  </si>
  <si>
    <t>Groupe des 4èmes</t>
  </si>
  <si>
    <t>3 meilleurs 4èmes de poule consolante s'affrontent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</si>
</sst>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b/>
      <sz val="10"/>
      <color rgb="FFFFFFFF"/>
      <name val="Arial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000000"/>
      <name val="Arial"/>
      <charset val="1"/>
    </font>
    <font>
      <b/>
      <sz val="13"/>
      <color rgb="FFFFFFFF"/>
      <name val="Arial"/>
      <charset val="1"/>
    </font>
    <font>
      <b/>
      <sz val="11"/>
      <color rgb="FFFFFFFF"/>
      <name val="Arial"/>
      <charset val="1"/>
    </font>
    <font>
      <b/>
      <sz val="10"/>
      <name val="Arial"/>
      <charset val="1"/>
    </font>
    <font>
      <b/>
      <sz val="10"/>
      <color rgb="FF1565C0"/>
      <name val="Arial"/>
      <charset val="1"/>
    </font>
    <font>
      <sz val="10"/>
      <name val="Arial"/>
      <charset val="1"/>
    </font>
    <font>
      <i/>
      <sz val="10"/>
      <name val="Arial"/>
      <charset val="1"/>
    </font>
    <font>
      <b/>
      <sz val="10"/>
      <color rgb="FF1B5E20"/>
      <name val="Arial"/>
      <charset val="1"/>
    </font>
    <font>
      <i/>
      <sz val="9"/>
      <color rgb="FF5D4037"/>
      <name val="Arial"/>
      <charset val="1"/>
    </font>
    <font>
      <i/>
      <sz val="9"/>
      <name val="Arial"/>
      <charset val="1"/>
    </font>
    <font>
      <b/>
      <sz val="12"/>
      <color rgb="FFFFFFFF"/>
      <name val="Arial"/>
      <charset val="1"/>
    </font>
    <font>
      <b/>
      <sz val="10"/>
      <color rgb="FFE65100"/>
      <name val="Arial"/>
      <charset val="1"/>
    </font>
    <font>
      <sz val="8"/>
      <color rgb="FFCCCCCC"/>
      <name val="Calibri"/>
    </font>
    <font>
      <sz val="11"/>
      <name val="Calibri"/>
    </font>
    <font>
      <b/>
      <sz val="13"/>
      <color rgb="FFFFFFFF"/>
      <name val="Calibri"/>
    </font>
    <font>
      <b/>
      <sz val="11"/>
      <color rgb="FFFFFFFF"/>
      <name val="Calibri"/>
    </font>
    <font>
      <b/>
      <sz val="10"/>
      <color rgb="FFFFFFFF"/>
      <name val="Calibri"/>
    </font>
    <font>
      <sz val="10"/>
      <color rgb="FF000000"/>
      <name val="Calibri"/>
    </font>
    <font>
      <b/>
      <sz val="10"/>
      <color rgb="FF000000"/>
      <name val="Calibri"/>
    </font>
    <font>
      <sz val="9"/>
      <color rgb="FF424242"/>
      <name val="Calibri"/>
    </font>
    <font>
      <sz val="9"/>
      <color rgb="FF757575"/>
      <name val="Calibri"/>
    </font>
    <font>
      <sz val="8"/>
      <color rgb="FF1565C0"/>
      <name val="Calibri"/>
    </font>
    <font>
      <sz val="10"/>
      <color theme="0"/>
      <name val="Calibri"/>
      <family val="2"/>
    </font>
    <font>
      <sz val="10"/>
      <color theme="6" tint="0.39997558519241921"/>
      <name val="Calibri"/>
      <family val="2"/>
    </font>
    <font>
      <sz val="10"/>
      <color rgb="FFFFFF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1B5E20"/>
        <bgColor rgb="FF333300"/>
      </patternFill>
    </fill>
    <fill>
      <patternFill patternType="solid">
        <fgColor rgb="FF388E3C"/>
        <bgColor rgb="FF008080"/>
      </patternFill>
    </fill>
    <fill>
      <patternFill patternType="solid">
        <fgColor rgb="FFC8E6C9"/>
        <bgColor rgb="FFE0E0E0"/>
      </patternFill>
    </fill>
    <fill>
      <patternFill patternType="solid">
        <fgColor rgb="FFE3F2FD"/>
        <bgColor rgb="FFF5F5F5"/>
      </patternFill>
    </fill>
    <fill>
      <patternFill patternType="solid">
        <fgColor rgb="FFFFE0B2"/>
        <bgColor rgb="FFFFF9C4"/>
      </patternFill>
    </fill>
    <fill>
      <patternFill patternType="solid">
        <fgColor rgb="FFFFF9C4"/>
        <bgColor rgb="FFFFF8E1"/>
      </patternFill>
    </fill>
    <fill>
      <patternFill patternType="solid">
        <fgColor rgb="FFFFEBEE"/>
        <bgColor rgb="FFF5F5F5"/>
      </patternFill>
    </fill>
    <fill>
      <patternFill patternType="solid">
        <fgColor rgb="FFF5F5F5"/>
        <bgColor rgb="FFFFF8E1"/>
      </patternFill>
    </fill>
    <fill>
      <patternFill patternType="solid">
        <fgColor rgb="FFFFFFFF"/>
        <bgColor rgb="FFF5F5F5"/>
      </patternFill>
    </fill>
    <fill>
      <patternFill patternType="solid">
        <fgColor rgb="FFFFF8E1"/>
        <bgColor rgb="FFF5F5F5"/>
      </patternFill>
    </fill>
    <fill>
      <patternFill patternType="solid">
        <fgColor rgb="FF1565C0"/>
        <bgColor rgb="FF3366FF"/>
      </patternFill>
    </fill>
    <fill>
      <patternFill patternType="solid">
        <fgColor rgb="FF6A1B9A"/>
        <bgColor rgb="FF660066"/>
      </patternFill>
    </fill>
    <fill>
      <patternFill patternType="solid">
        <fgColor rgb="FFE65100"/>
        <bgColor rgb="FF993300"/>
      </patternFill>
    </fill>
    <fill>
      <patternFill patternType="solid">
        <fgColor rgb="FF880E4F"/>
        <bgColor rgb="FF660066"/>
      </patternFill>
    </fill>
    <fill>
      <patternFill patternType="solid">
        <fgColor rgb="FFFFD700"/>
        <bgColor rgb="FFFFFF00"/>
      </patternFill>
    </fill>
    <fill>
      <patternFill patternType="solid">
        <fgColor rgb="FFB0BEC5"/>
        <bgColor rgb="FFC8E6C9"/>
      </patternFill>
    </fill>
    <fill>
      <patternFill patternType="solid">
        <fgColor rgb="FFE0E0E0"/>
        <bgColor rgb="FFC8E6C9"/>
      </patternFill>
    </fill>
    <fill>
      <patternFill patternType="solid">
        <fgColor rgb="FFF9F9F9"/>
      </patternFill>
    </fill>
    <fill>
      <patternFill patternType="solid">
        <fgColor rgb="FF1B5E20"/>
      </patternFill>
    </fill>
    <fill>
      <patternFill patternType="solid">
        <fgColor rgb="FF0D47A1"/>
      </patternFill>
    </fill>
    <fill>
      <patternFill patternType="solid">
        <fgColor rgb="FFE3F2FD"/>
      </patternFill>
    </fill>
    <fill>
      <patternFill patternType="solid">
        <fgColor rgb="FFC8E6C9"/>
      </patternFill>
    </fill>
    <fill>
      <patternFill patternType="solid">
        <fgColor rgb="FFFFF9C4"/>
      </patternFill>
    </fill>
    <fill>
      <patternFill patternType="solid">
        <fgColor rgb="FFFFFFFF"/>
      </patternFill>
    </fill>
    <fill>
      <patternFill patternType="solid">
        <fgColor rgb="FFE65100"/>
      </patternFill>
    </fill>
    <fill>
      <patternFill patternType="solid">
        <fgColor rgb="FFF5F5F5"/>
      </patternFill>
    </fill>
    <fill>
      <patternFill patternType="solid">
        <fgColor rgb="FF1565C0"/>
      </patternFill>
    </fill>
    <fill>
      <patternFill patternType="solid">
        <fgColor rgb="FF6A1B9A"/>
      </patternFill>
    </fill>
    <fill>
      <patternFill patternType="solid">
        <fgColor rgb="FFF3E5F5"/>
      </patternFill>
    </fill>
    <fill>
      <patternFill patternType="solid">
        <fgColor rgb="FF2E7D32"/>
      </patternFill>
    </fill>
    <fill>
      <patternFill patternType="solid">
        <fgColor rgb="FFE8F5E9"/>
      </patternFill>
    </fill>
    <fill>
      <patternFill patternType="solid">
        <fgColor rgb="FFFFF3E0"/>
      </patternFill>
    </fill>
    <fill>
      <patternFill patternType="solid">
        <fgColor rgb="FF880E4F"/>
      </patternFill>
    </fill>
    <fill>
      <patternFill patternType="solid">
        <fgColor rgb="FFFCE4EC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/>
      <right/>
      <top style="thin">
        <color rgb="FF9E9E9E"/>
      </top>
      <bottom style="thin">
        <color rgb="FF9E9E9E"/>
      </bottom>
      <diagonal/>
    </border>
    <border>
      <left/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 style="thin">
        <color rgb="FF9E9E9E"/>
      </right>
      <top/>
      <bottom style="thin">
        <color rgb="FF9E9E9E"/>
      </bottom>
      <diagonal/>
    </border>
  </borders>
  <cellStyleXfs count="1">
    <xf numFmtId="0" fontId="0" fillId="0" borderId="5"/>
  </cellStyleXfs>
  <cellXfs count="149">
    <xf numFmtId="0" fontId="0" fillId="0" borderId="0" xfId="0" applyBorder="1"/>
    <xf numFmtId="0" fontId="7" fillId="13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0" fontId="5" fillId="7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 wrapText="1"/>
    </xf>
    <xf numFmtId="0" fontId="7" fillId="15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7" fillId="18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7" fillId="19" borderId="5" xfId="0" applyFont="1" applyFill="1"/>
    <xf numFmtId="0" fontId="18" fillId="0" borderId="5" xfId="0" applyFont="1"/>
    <xf numFmtId="0" fontId="21" fillId="21" borderId="6" xfId="0" applyFont="1" applyFill="1" applyBorder="1" applyAlignment="1">
      <alignment horizontal="center" vertical="center"/>
    </xf>
    <xf numFmtId="0" fontId="22" fillId="22" borderId="6" xfId="0" applyFont="1" applyFill="1" applyBorder="1" applyAlignment="1">
      <alignment horizontal="center" vertical="center"/>
    </xf>
    <xf numFmtId="0" fontId="23" fillId="22" borderId="6" xfId="0" applyFont="1" applyFill="1" applyBorder="1" applyAlignment="1">
      <alignment horizontal="left" vertical="center"/>
    </xf>
    <xf numFmtId="0" fontId="22" fillId="23" borderId="6" xfId="0" applyFont="1" applyFill="1" applyBorder="1" applyAlignment="1">
      <alignment horizontal="center" vertical="center"/>
    </xf>
    <xf numFmtId="0" fontId="22" fillId="24" borderId="6" xfId="0" applyFont="1" applyFill="1" applyBorder="1" applyAlignment="1">
      <alignment horizontal="center" vertical="center"/>
    </xf>
    <xf numFmtId="0" fontId="22" fillId="25" borderId="6" xfId="0" applyFont="1" applyFill="1" applyBorder="1" applyAlignment="1">
      <alignment horizontal="center" vertical="center"/>
    </xf>
    <xf numFmtId="0" fontId="23" fillId="25" borderId="6" xfId="0" applyFont="1" applyFill="1" applyBorder="1" applyAlignment="1">
      <alignment horizontal="left" vertical="center"/>
    </xf>
    <xf numFmtId="0" fontId="21" fillId="26" borderId="6" xfId="0" applyFont="1" applyFill="1" applyBorder="1" applyAlignment="1">
      <alignment horizontal="center" vertical="center"/>
    </xf>
    <xf numFmtId="0" fontId="21" fillId="28" borderId="9" xfId="0" applyFont="1" applyFill="1" applyBorder="1" applyAlignment="1">
      <alignment horizontal="center" vertical="center"/>
    </xf>
    <xf numFmtId="0" fontId="22" fillId="22" borderId="9" xfId="0" applyFont="1" applyFill="1" applyBorder="1" applyAlignment="1">
      <alignment horizontal="center" vertical="center"/>
    </xf>
    <xf numFmtId="0" fontId="23" fillId="22" borderId="9" xfId="0" applyFont="1" applyFill="1" applyBorder="1" applyAlignment="1">
      <alignment horizontal="left" vertical="center"/>
    </xf>
    <xf numFmtId="0" fontId="25" fillId="22" borderId="9" xfId="0" applyFont="1" applyFill="1" applyBorder="1" applyAlignment="1">
      <alignment horizontal="center" vertical="center"/>
    </xf>
    <xf numFmtId="0" fontId="22" fillId="25" borderId="9" xfId="0" applyFont="1" applyFill="1" applyBorder="1" applyAlignment="1">
      <alignment horizontal="center" vertical="center"/>
    </xf>
    <xf numFmtId="0" fontId="23" fillId="25" borderId="9" xfId="0" applyFont="1" applyFill="1" applyBorder="1" applyAlignment="1">
      <alignment horizontal="left" vertical="center"/>
    </xf>
    <xf numFmtId="0" fontId="25" fillId="25" borderId="9" xfId="0" applyFont="1" applyFill="1" applyBorder="1" applyAlignment="1">
      <alignment horizontal="center" vertical="center"/>
    </xf>
    <xf numFmtId="0" fontId="21" fillId="29" borderId="9" xfId="0" applyFont="1" applyFill="1" applyBorder="1" applyAlignment="1">
      <alignment horizontal="center" vertical="center"/>
    </xf>
    <xf numFmtId="0" fontId="22" fillId="30" borderId="9" xfId="0" applyFont="1" applyFill="1" applyBorder="1" applyAlignment="1">
      <alignment horizontal="center" vertical="center"/>
    </xf>
    <xf numFmtId="0" fontId="23" fillId="30" borderId="9" xfId="0" applyFont="1" applyFill="1" applyBorder="1" applyAlignment="1">
      <alignment horizontal="left" vertical="center"/>
    </xf>
    <xf numFmtId="0" fontId="25" fillId="30" borderId="9" xfId="0" applyFont="1" applyFill="1" applyBorder="1" applyAlignment="1">
      <alignment horizontal="center" vertical="center"/>
    </xf>
    <xf numFmtId="0" fontId="21" fillId="31" borderId="9" xfId="0" applyFont="1" applyFill="1" applyBorder="1" applyAlignment="1">
      <alignment horizontal="center" vertical="center"/>
    </xf>
    <xf numFmtId="0" fontId="22" fillId="32" borderId="9" xfId="0" applyFont="1" applyFill="1" applyBorder="1" applyAlignment="1">
      <alignment horizontal="center" vertical="center"/>
    </xf>
    <xf numFmtId="0" fontId="23" fillId="32" borderId="9" xfId="0" applyFont="1" applyFill="1" applyBorder="1" applyAlignment="1">
      <alignment horizontal="left" vertical="center"/>
    </xf>
    <xf numFmtId="0" fontId="25" fillId="32" borderId="9" xfId="0" applyFont="1" applyFill="1" applyBorder="1" applyAlignment="1">
      <alignment horizontal="center" vertical="center"/>
    </xf>
    <xf numFmtId="0" fontId="21" fillId="26" borderId="9" xfId="0" applyFont="1" applyFill="1" applyBorder="1" applyAlignment="1">
      <alignment horizontal="center" vertical="center"/>
    </xf>
    <xf numFmtId="0" fontId="22" fillId="33" borderId="9" xfId="0" applyFont="1" applyFill="1" applyBorder="1" applyAlignment="1">
      <alignment horizontal="center" vertical="center"/>
    </xf>
    <xf numFmtId="0" fontId="23" fillId="33" borderId="9" xfId="0" applyFont="1" applyFill="1" applyBorder="1" applyAlignment="1">
      <alignment horizontal="left" vertical="center"/>
    </xf>
    <xf numFmtId="0" fontId="25" fillId="33" borderId="9" xfId="0" applyFont="1" applyFill="1" applyBorder="1" applyAlignment="1">
      <alignment horizontal="center" vertical="center"/>
    </xf>
    <xf numFmtId="0" fontId="21" fillId="34" borderId="9" xfId="0" applyFont="1" applyFill="1" applyBorder="1" applyAlignment="1">
      <alignment horizontal="center" vertical="center"/>
    </xf>
    <xf numFmtId="0" fontId="22" fillId="35" borderId="9" xfId="0" applyFont="1" applyFill="1" applyBorder="1" applyAlignment="1">
      <alignment horizontal="center" vertical="center"/>
    </xf>
    <xf numFmtId="0" fontId="23" fillId="35" borderId="9" xfId="0" applyFont="1" applyFill="1" applyBorder="1" applyAlignment="1">
      <alignment horizontal="left" vertical="center"/>
    </xf>
    <xf numFmtId="0" fontId="25" fillId="35" borderId="9" xfId="0" applyFont="1" applyFill="1" applyBorder="1" applyAlignment="1">
      <alignment horizontal="center" vertical="center"/>
    </xf>
    <xf numFmtId="0" fontId="22" fillId="33" borderId="6" xfId="0" applyFont="1" applyFill="1" applyBorder="1" applyAlignment="1">
      <alignment horizontal="center" vertical="center"/>
    </xf>
    <xf numFmtId="0" fontId="23" fillId="33" borderId="6" xfId="0" applyFont="1" applyFill="1" applyBorder="1" applyAlignment="1">
      <alignment horizontal="left" vertical="center"/>
    </xf>
    <xf numFmtId="0" fontId="22" fillId="25" borderId="12" xfId="0" applyFont="1" applyFill="1" applyBorder="1" applyAlignment="1">
      <alignment horizontal="center" vertical="center"/>
    </xf>
    <xf numFmtId="0" fontId="22" fillId="23" borderId="12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left" vertical="center"/>
    </xf>
    <xf numFmtId="0" fontId="27" fillId="25" borderId="13" xfId="0" applyFont="1" applyFill="1" applyBorder="1" applyAlignment="1">
      <alignment horizontal="center" vertical="center"/>
    </xf>
    <xf numFmtId="0" fontId="28" fillId="23" borderId="13" xfId="0" applyFont="1" applyFill="1" applyBorder="1" applyAlignment="1">
      <alignment horizontal="center" vertical="center"/>
    </xf>
    <xf numFmtId="0" fontId="29" fillId="24" borderId="13" xfId="0" applyFont="1" applyFill="1" applyBorder="1" applyAlignment="1">
      <alignment horizontal="center" vertical="center"/>
    </xf>
    <xf numFmtId="0" fontId="26" fillId="22" borderId="9" xfId="0" applyFont="1" applyFill="1" applyBorder="1" applyAlignment="1">
      <alignment horizontal="left" vertical="center" wrapText="1"/>
    </xf>
    <xf numFmtId="0" fontId="0" fillId="0" borderId="10" xfId="0" applyBorder="1"/>
    <xf numFmtId="0" fontId="0" fillId="0" borderId="11" xfId="0" applyBorder="1"/>
    <xf numFmtId="0" fontId="14" fillId="7" borderId="5" xfId="0" applyFont="1" applyFill="1" applyAlignment="1">
      <alignment horizontal="left" vertical="center" wrapText="1"/>
    </xf>
    <xf numFmtId="0" fontId="0" fillId="0" borderId="0" xfId="0" applyBorder="1"/>
    <xf numFmtId="0" fontId="20" fillId="26" borderId="9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wrapText="1"/>
    </xf>
    <xf numFmtId="0" fontId="0" fillId="0" borderId="4" xfId="0" applyBorder="1"/>
    <xf numFmtId="0" fontId="22" fillId="25" borderId="12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19" fillId="20" borderId="6" xfId="0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7" fillId="1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left" vertical="center"/>
    </xf>
    <xf numFmtId="0" fontId="24" fillId="27" borderId="6" xfId="0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 wrapText="1"/>
    </xf>
    <xf numFmtId="0" fontId="23" fillId="25" borderId="12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2" fillId="23" borderId="12" xfId="0" applyFont="1" applyFill="1" applyBorder="1" applyAlignment="1">
      <alignment horizontal="center" vertical="center"/>
    </xf>
    <xf numFmtId="0" fontId="22" fillId="23" borderId="13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13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20" fillId="26" borderId="6" xfId="0" applyFont="1" applyFill="1" applyBorder="1" applyAlignment="1">
      <alignment horizontal="center" vertical="center"/>
    </xf>
    <xf numFmtId="0" fontId="20" fillId="29" borderId="9" xfId="0" applyFont="1" applyFill="1" applyBorder="1" applyAlignment="1">
      <alignment horizontal="center" vertical="center"/>
    </xf>
    <xf numFmtId="0" fontId="20" fillId="31" borderId="9" xfId="0" applyFont="1" applyFill="1" applyBorder="1" applyAlignment="1">
      <alignment horizontal="center" vertical="center"/>
    </xf>
    <xf numFmtId="0" fontId="20" fillId="28" borderId="9" xfId="0" applyFont="1" applyFill="1" applyBorder="1" applyAlignment="1">
      <alignment horizontal="center" vertical="center"/>
    </xf>
    <xf numFmtId="0" fontId="24" fillId="36" borderId="9" xfId="0" applyFont="1" applyFill="1" applyBorder="1" applyAlignment="1">
      <alignment horizontal="center" vertical="center"/>
    </xf>
    <xf numFmtId="0" fontId="20" fillId="21" borderId="6" xfId="0" applyFont="1" applyFill="1" applyBorder="1" applyAlignment="1">
      <alignment horizontal="center" vertical="center"/>
    </xf>
    <xf numFmtId="0" fontId="24" fillId="27" borderId="9" xfId="0" applyFont="1" applyFill="1" applyBorder="1" applyAlignment="1">
      <alignment horizontal="center" vertical="center" wrapText="1"/>
    </xf>
    <xf numFmtId="0" fontId="7" fillId="15" borderId="2" xfId="0" applyFont="1" applyFill="1" applyBorder="1" applyAlignment="1">
      <alignment horizontal="center" vertical="center" wrapText="1"/>
    </xf>
    <xf numFmtId="0" fontId="20" fillId="36" borderId="9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 wrapText="1"/>
    </xf>
    <xf numFmtId="0" fontId="20" fillId="21" borderId="9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left" vertical="center"/>
    </xf>
    <xf numFmtId="0" fontId="19" fillId="20" borderId="9" xfId="0" applyFont="1" applyFill="1" applyBorder="1" applyAlignment="1">
      <alignment horizontal="center" vertical="center"/>
    </xf>
    <xf numFmtId="0" fontId="20" fillId="34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6" fillId="2" borderId="1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 wrapText="1"/>
    </xf>
    <xf numFmtId="0" fontId="13" fillId="11" borderId="5" xfId="0" applyFont="1" applyFill="1" applyAlignment="1">
      <alignment horizontal="left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7" fillId="14" borderId="1" xfId="0" applyFont="1" applyFill="1" applyBorder="1" applyAlignment="1">
      <alignment horizontal="center" vertical="center" wrapText="1"/>
    </xf>
    <xf numFmtId="0" fontId="6" fillId="15" borderId="2" xfId="0" applyFont="1" applyFill="1" applyBorder="1" applyAlignment="1">
      <alignment horizontal="center" vertical="center" wrapText="1"/>
    </xf>
    <xf numFmtId="0" fontId="7" fillId="15" borderId="1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left" vertical="center"/>
    </xf>
    <xf numFmtId="0" fontId="0" fillId="0" borderId="5" xfId="0"/>
    <xf numFmtId="0" fontId="14" fillId="7" borderId="2" xfId="0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left" vertical="center"/>
    </xf>
    <xf numFmtId="0" fontId="7" fillId="17" borderId="2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7" fillId="16" borderId="2" xfId="0" applyFont="1" applyFill="1" applyBorder="1" applyAlignment="1">
      <alignment horizontal="center" vertical="center" wrapText="1"/>
    </xf>
    <xf numFmtId="0" fontId="15" fillId="14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B5E20"/>
      <rgbColor rgb="FF000080"/>
      <rgbColor rgb="FF808000"/>
      <rgbColor rgb="FF880E4F"/>
      <rgbColor rgb="FF008080"/>
      <rgbColor rgb="FFB0BEC5"/>
      <rgbColor rgb="FF808080"/>
      <rgbColor rgb="FF9999FF"/>
      <rgbColor rgb="FF993366"/>
      <rgbColor rgb="FFFFF9C4"/>
      <rgbColor rgb="FFE3F2FD"/>
      <rgbColor rgb="FF660066"/>
      <rgbColor rgb="FFFF8080"/>
      <rgbColor rgb="FF1565C0"/>
      <rgbColor rgb="FFE0E0E0"/>
      <rgbColor rgb="FF000080"/>
      <rgbColor rgb="FFFF00FF"/>
      <rgbColor rgb="FFFFFF00"/>
      <rgbColor rgb="FF00FFFF"/>
      <rgbColor rgb="FF6A1B9A"/>
      <rgbColor rgb="FF800000"/>
      <rgbColor rgb="FF008080"/>
      <rgbColor rgb="FF0000FF"/>
      <rgbColor rgb="FF00CCFF"/>
      <rgbColor rgb="FFF5F5F5"/>
      <rgbColor rgb="FFC8E6C9"/>
      <rgbColor rgb="FFFFF8E1"/>
      <rgbColor rgb="FFFFEBEE"/>
      <rgbColor rgb="FFFF99CC"/>
      <rgbColor rgb="FFCC99FF"/>
      <rgbColor rgb="FFFFE0B2"/>
      <rgbColor rgb="FF3366FF"/>
      <rgbColor rgb="FF33CCCC"/>
      <rgbColor rgb="FF99CC00"/>
      <rgbColor rgb="FFFFD700"/>
      <rgbColor rgb="FFFF9900"/>
      <rgbColor rgb="FFE65100"/>
      <rgbColor rgb="FF666699"/>
      <rgbColor rgb="FF969696"/>
      <rgbColor rgb="FF003366"/>
      <rgbColor rgb="FF388E3C"/>
      <rgbColor rgb="FF003300"/>
      <rgbColor rgb="FF333300"/>
      <rgbColor rgb="FF993300"/>
      <rgbColor rgb="FF993366"/>
      <rgbColor rgb="FF333399"/>
      <rgbColor rgb="FF5D40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274204</xdr:colOff>
      <xdr:row>52</xdr:row>
      <xdr:rowOff>223693</xdr:rowOff>
    </xdr:from>
    <xdr:to>
      <xdr:col>19</xdr:col>
      <xdr:colOff>519546</xdr:colOff>
      <xdr:row>55</xdr:row>
      <xdr:rowOff>21648</xdr:rowOff>
    </xdr:to>
    <xdr:sp macro="[0]!NouveauTirag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83D53DC-94E6-1DB4-81B9-40E8E02F0B87}"/>
            </a:ext>
          </a:extLst>
        </xdr:cNvPr>
        <xdr:cNvSpPr/>
      </xdr:nvSpPr>
      <xdr:spPr>
        <a:xfrm>
          <a:off x="9279659" y="13421591"/>
          <a:ext cx="1457614" cy="53397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BOUTON TIRAGE AU SORT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C21"/>
  <sheetViews>
    <sheetView topLeftCell="A10" zoomScaleNormal="100" workbookViewId="0"/>
  </sheetViews>
  <sheetFormatPr baseColWidth="10" defaultColWidth="8.6328125" defaultRowHeight="14.5" x14ac:dyDescent="0.35"/>
  <cols>
    <col min="1" max="1" width="5" customWidth="1"/>
    <col min="2" max="2" width="40" customWidth="1"/>
    <col min="3" max="3" width="60" customWidth="1"/>
  </cols>
  <sheetData>
    <row r="1" spans="2:3" ht="34.5" customHeight="1" x14ac:dyDescent="0.35">
      <c r="B1" s="127" t="s">
        <v>61</v>
      </c>
      <c r="C1" s="128"/>
    </row>
    <row r="3" spans="2:3" ht="21.75" customHeight="1" x14ac:dyDescent="0.35">
      <c r="B3" s="4" t="s">
        <v>62</v>
      </c>
      <c r="C3" s="5"/>
    </row>
    <row r="4" spans="2:3" ht="21.75" customHeight="1" x14ac:dyDescent="0.35">
      <c r="B4" s="6" t="s">
        <v>63</v>
      </c>
      <c r="C4" s="7" t="s">
        <v>64</v>
      </c>
    </row>
    <row r="5" spans="2:3" ht="21.75" customHeight="1" x14ac:dyDescent="0.35">
      <c r="B5" s="8" t="s">
        <v>65</v>
      </c>
      <c r="C5" s="9" t="s">
        <v>66</v>
      </c>
    </row>
    <row r="6" spans="2:3" ht="21.75" customHeight="1" x14ac:dyDescent="0.35">
      <c r="B6" s="10" t="s">
        <v>67</v>
      </c>
      <c r="C6" s="11" t="s">
        <v>68</v>
      </c>
    </row>
    <row r="7" spans="2:3" ht="21.75" customHeight="1" x14ac:dyDescent="0.35">
      <c r="B7" s="12" t="s">
        <v>69</v>
      </c>
      <c r="C7" s="13" t="s">
        <v>70</v>
      </c>
    </row>
    <row r="9" spans="2:3" ht="21.75" customHeight="1" x14ac:dyDescent="0.35">
      <c r="B9" s="4" t="s">
        <v>71</v>
      </c>
      <c r="C9" s="5"/>
    </row>
    <row r="10" spans="2:3" ht="21.75" customHeight="1" x14ac:dyDescent="0.35">
      <c r="B10" s="6" t="s">
        <v>72</v>
      </c>
      <c r="C10" s="7" t="s">
        <v>73</v>
      </c>
    </row>
    <row r="11" spans="2:3" ht="21.75" customHeight="1" x14ac:dyDescent="0.35">
      <c r="B11" s="8" t="s">
        <v>74</v>
      </c>
      <c r="C11" s="9" t="s">
        <v>75</v>
      </c>
    </row>
    <row r="12" spans="2:3" ht="21.75" customHeight="1" x14ac:dyDescent="0.35">
      <c r="B12" s="8" t="s">
        <v>76</v>
      </c>
      <c r="C12" s="9" t="s">
        <v>77</v>
      </c>
    </row>
    <row r="13" spans="2:3" ht="21.75" customHeight="1" x14ac:dyDescent="0.35">
      <c r="B13" s="6" t="s">
        <v>78</v>
      </c>
      <c r="C13" s="7" t="s">
        <v>79</v>
      </c>
    </row>
    <row r="14" spans="2:3" ht="21.75" customHeight="1" x14ac:dyDescent="0.35">
      <c r="B14" s="10" t="s">
        <v>80</v>
      </c>
      <c r="C14" s="11" t="s">
        <v>81</v>
      </c>
    </row>
    <row r="15" spans="2:3" ht="21.75" customHeight="1" x14ac:dyDescent="0.35">
      <c r="B15" s="12" t="s">
        <v>82</v>
      </c>
      <c r="C15" s="13" t="s">
        <v>83</v>
      </c>
    </row>
    <row r="17" spans="2:3" ht="21.75" customHeight="1" x14ac:dyDescent="0.35">
      <c r="B17" s="4" t="s">
        <v>84</v>
      </c>
      <c r="C17" s="5"/>
    </row>
    <row r="18" spans="2:3" ht="21.75" customHeight="1" x14ac:dyDescent="0.35">
      <c r="B18" s="6" t="s">
        <v>85</v>
      </c>
      <c r="C18" s="7" t="s">
        <v>86</v>
      </c>
    </row>
    <row r="19" spans="2:3" ht="21.75" customHeight="1" x14ac:dyDescent="0.35">
      <c r="B19" s="12" t="s">
        <v>87</v>
      </c>
      <c r="C19" s="13" t="s">
        <v>88</v>
      </c>
    </row>
    <row r="20" spans="2:3" ht="21.75" customHeight="1" x14ac:dyDescent="0.35">
      <c r="B20" s="14" t="s">
        <v>89</v>
      </c>
      <c r="C20" s="15" t="s">
        <v>90</v>
      </c>
    </row>
    <row r="21" spans="2:3" ht="21.75" customHeight="1" x14ac:dyDescent="0.35">
      <c r="B21" s="16" t="s">
        <v>91</v>
      </c>
      <c r="C21" s="17" t="s">
        <v>92</v>
      </c>
    </row>
  </sheetData>
  <mergeCells count="1">
    <mergeCell ref="B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1:D22"/>
  <sheetViews>
    <sheetView zoomScaleNormal="100" workbookViewId="0">
      <selection activeCell="E3" sqref="E3"/>
    </sheetView>
  </sheetViews>
  <sheetFormatPr baseColWidth="10" defaultColWidth="8.6328125" defaultRowHeight="14.5" x14ac:dyDescent="0.35"/>
  <cols>
    <col min="2" max="2" width="5" customWidth="1"/>
    <col min="3" max="3" width="30" customWidth="1"/>
    <col min="4" max="4" width="20" customWidth="1"/>
  </cols>
  <sheetData>
    <row r="1" spans="3:4" ht="30" customHeight="1" x14ac:dyDescent="0.35">
      <c r="C1" s="129" t="s">
        <v>93</v>
      </c>
      <c r="D1" s="128"/>
    </row>
    <row r="2" spans="3:4" ht="24.75" customHeight="1" x14ac:dyDescent="0.35">
      <c r="C2" s="18" t="s">
        <v>94</v>
      </c>
      <c r="D2" s="18" t="s">
        <v>95</v>
      </c>
    </row>
    <row r="3" spans="3:4" ht="19.5" customHeight="1" x14ac:dyDescent="0.35">
      <c r="C3" s="19">
        <v>1</v>
      </c>
      <c r="D3" s="20" t="s">
        <v>36</v>
      </c>
    </row>
    <row r="4" spans="3:4" ht="19.5" customHeight="1" x14ac:dyDescent="0.35">
      <c r="C4" s="21">
        <v>2</v>
      </c>
      <c r="D4" s="20" t="s">
        <v>40</v>
      </c>
    </row>
    <row r="5" spans="3:4" ht="19.5" customHeight="1" x14ac:dyDescent="0.35">
      <c r="C5" s="19">
        <v>3</v>
      </c>
      <c r="D5" s="20" t="s">
        <v>60</v>
      </c>
    </row>
    <row r="6" spans="3:4" ht="19.5" customHeight="1" x14ac:dyDescent="0.35">
      <c r="C6" s="21">
        <v>4</v>
      </c>
      <c r="D6" s="20" t="s">
        <v>55</v>
      </c>
    </row>
    <row r="7" spans="3:4" ht="19.5" customHeight="1" x14ac:dyDescent="0.35">
      <c r="C7" s="19">
        <v>5</v>
      </c>
      <c r="D7" s="20" t="s">
        <v>43</v>
      </c>
    </row>
    <row r="8" spans="3:4" ht="19.5" customHeight="1" x14ac:dyDescent="0.35">
      <c r="C8" s="21">
        <v>6</v>
      </c>
      <c r="D8" s="20" t="s">
        <v>34</v>
      </c>
    </row>
    <row r="9" spans="3:4" ht="19.5" customHeight="1" x14ac:dyDescent="0.35">
      <c r="C9" s="19">
        <v>7</v>
      </c>
      <c r="D9" s="20" t="s">
        <v>52</v>
      </c>
    </row>
    <row r="10" spans="3:4" ht="19.5" customHeight="1" x14ac:dyDescent="0.35">
      <c r="C10" s="21">
        <v>8</v>
      </c>
      <c r="D10" s="20" t="s">
        <v>48</v>
      </c>
    </row>
    <row r="11" spans="3:4" ht="19.5" customHeight="1" x14ac:dyDescent="0.35">
      <c r="C11" s="19">
        <v>9</v>
      </c>
      <c r="D11" s="20" t="s">
        <v>42</v>
      </c>
    </row>
    <row r="12" spans="3:4" ht="19.5" customHeight="1" x14ac:dyDescent="0.35">
      <c r="C12" s="21">
        <v>10</v>
      </c>
      <c r="D12" s="20" t="s">
        <v>35</v>
      </c>
    </row>
    <row r="13" spans="3:4" ht="19.5" customHeight="1" x14ac:dyDescent="0.35">
      <c r="C13" s="19">
        <v>11</v>
      </c>
      <c r="D13" s="20" t="s">
        <v>58</v>
      </c>
    </row>
    <row r="14" spans="3:4" ht="19.5" customHeight="1" x14ac:dyDescent="0.35">
      <c r="C14" s="21">
        <v>12</v>
      </c>
      <c r="D14" s="20" t="s">
        <v>46</v>
      </c>
    </row>
    <row r="15" spans="3:4" ht="19.5" customHeight="1" x14ac:dyDescent="0.35">
      <c r="C15" s="19">
        <v>13</v>
      </c>
      <c r="D15" s="20" t="s">
        <v>37</v>
      </c>
    </row>
    <row r="16" spans="3:4" ht="19.5" customHeight="1" x14ac:dyDescent="0.35">
      <c r="C16" s="21">
        <v>14</v>
      </c>
      <c r="D16" s="20" t="s">
        <v>49</v>
      </c>
    </row>
    <row r="17" spans="3:4" ht="19.5" customHeight="1" x14ac:dyDescent="0.35">
      <c r="C17" s="19">
        <v>15</v>
      </c>
      <c r="D17" s="20" t="s">
        <v>54</v>
      </c>
    </row>
    <row r="18" spans="3:4" ht="19.5" customHeight="1" x14ac:dyDescent="0.35">
      <c r="C18" s="21">
        <v>16</v>
      </c>
      <c r="D18" s="20" t="s">
        <v>59</v>
      </c>
    </row>
    <row r="19" spans="3:4" ht="19.5" customHeight="1" x14ac:dyDescent="0.35">
      <c r="C19" s="19">
        <v>17</v>
      </c>
      <c r="D19" s="20" t="s">
        <v>41</v>
      </c>
    </row>
    <row r="20" spans="3:4" ht="19.5" customHeight="1" x14ac:dyDescent="0.35">
      <c r="C20" s="21">
        <v>18</v>
      </c>
      <c r="D20" s="20" t="s">
        <v>47</v>
      </c>
    </row>
    <row r="21" spans="3:4" ht="19.5" customHeight="1" x14ac:dyDescent="0.35">
      <c r="C21" s="19">
        <v>19</v>
      </c>
      <c r="D21" s="20" t="s">
        <v>53</v>
      </c>
    </row>
    <row r="22" spans="3:4" ht="19.5" customHeight="1" x14ac:dyDescent="0.35">
      <c r="C22" s="21">
        <v>20</v>
      </c>
      <c r="D22" s="20" t="s">
        <v>57</v>
      </c>
    </row>
  </sheetData>
  <mergeCells count="1">
    <mergeCell ref="C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1:N33"/>
  <sheetViews>
    <sheetView topLeftCell="A6" zoomScaleNormal="100" workbookViewId="0">
      <selection activeCell="G15" sqref="G15"/>
    </sheetView>
  </sheetViews>
  <sheetFormatPr baseColWidth="10" defaultColWidth="8.6328125" defaultRowHeight="14.5" x14ac:dyDescent="0.35"/>
  <cols>
    <col min="2" max="2" width="3" customWidth="1"/>
    <col min="3" max="3" width="8.54296875" customWidth="1"/>
    <col min="4" max="4" width="22" customWidth="1"/>
    <col min="5" max="7" width="11.7265625" customWidth="1"/>
    <col min="8" max="8" width="14.36328125" customWidth="1"/>
    <col min="9" max="11" width="5" customWidth="1"/>
    <col min="12" max="12" width="8" customWidth="1"/>
  </cols>
  <sheetData>
    <row r="1" spans="3:8" ht="34.5" customHeight="1" x14ac:dyDescent="0.35">
      <c r="C1" s="98" t="s">
        <v>96</v>
      </c>
      <c r="D1" s="95"/>
      <c r="E1" s="95"/>
      <c r="F1" s="95"/>
      <c r="G1" s="95"/>
      <c r="H1" s="95"/>
    </row>
    <row r="3" spans="3:8" ht="15" customHeight="1" x14ac:dyDescent="0.35">
      <c r="C3" s="112" t="s">
        <v>97</v>
      </c>
      <c r="D3" s="95"/>
      <c r="E3" s="3" t="s">
        <v>32</v>
      </c>
    </row>
    <row r="4" spans="3:8" ht="19.5" customHeight="1" x14ac:dyDescent="0.35">
      <c r="C4" s="130" t="str">
        <f>'📝 Équipes'!D3</f>
        <v>Équipe 1</v>
      </c>
      <c r="D4" s="95"/>
      <c r="E4" s="21">
        <v>1</v>
      </c>
    </row>
    <row r="5" spans="3:8" ht="19.5" customHeight="1" x14ac:dyDescent="0.35">
      <c r="C5" s="130" t="str">
        <f>'📝 Équipes'!D4</f>
        <v>Équipe 2</v>
      </c>
      <c r="D5" s="95"/>
      <c r="E5" s="21">
        <v>2</v>
      </c>
    </row>
    <row r="6" spans="3:8" ht="19.5" customHeight="1" x14ac:dyDescent="0.35">
      <c r="C6" s="130" t="str">
        <f>'📝 Équipes'!D5</f>
        <v>Équipe 3</v>
      </c>
      <c r="D6" s="95"/>
      <c r="E6" s="21">
        <v>3</v>
      </c>
    </row>
    <row r="7" spans="3:8" ht="19.5" customHeight="1" x14ac:dyDescent="0.35">
      <c r="C7" s="130" t="str">
        <f>'📝 Équipes'!D6</f>
        <v>Équipe 4</v>
      </c>
      <c r="D7" s="95"/>
      <c r="E7" s="21">
        <v>4</v>
      </c>
    </row>
    <row r="9" spans="3:8" ht="7.5" customHeight="1" x14ac:dyDescent="0.35"/>
    <row r="10" spans="3:8" ht="24.75" customHeight="1" x14ac:dyDescent="0.35">
      <c r="C10" s="3" t="s">
        <v>98</v>
      </c>
      <c r="D10" s="3" t="s">
        <v>36</v>
      </c>
      <c r="E10" s="3" t="s">
        <v>99</v>
      </c>
      <c r="F10" s="3" t="s">
        <v>100</v>
      </c>
      <c r="G10" s="3" t="s">
        <v>40</v>
      </c>
      <c r="H10" s="3" t="s">
        <v>101</v>
      </c>
    </row>
    <row r="11" spans="3:8" ht="21.75" customHeight="1" x14ac:dyDescent="0.35">
      <c r="C11" s="19" t="s">
        <v>102</v>
      </c>
      <c r="D11" s="22" t="str">
        <f>C4</f>
        <v>Équipe 1</v>
      </c>
      <c r="E11" s="23">
        <v>4</v>
      </c>
      <c r="F11" s="23">
        <v>3</v>
      </c>
      <c r="G11" s="22" t="str">
        <f>C5</f>
        <v>Équipe 2</v>
      </c>
      <c r="H11" s="24" t="str">
        <f t="shared" ref="H11:H16" si="0">IF(E11&gt;F11,D11&amp;" gagne",IF(E11&lt;F11,G11&amp;" gagne","Nul"))</f>
        <v>Équipe 1 gagne</v>
      </c>
    </row>
    <row r="12" spans="3:8" ht="21.75" customHeight="1" x14ac:dyDescent="0.35">
      <c r="C12" s="21" t="s">
        <v>103</v>
      </c>
      <c r="D12" s="25" t="str">
        <f>C6</f>
        <v>Équipe 3</v>
      </c>
      <c r="E12" s="23">
        <v>1</v>
      </c>
      <c r="F12" s="23">
        <v>1</v>
      </c>
      <c r="G12" s="25" t="str">
        <f>C7</f>
        <v>Équipe 4</v>
      </c>
      <c r="H12" s="26" t="str">
        <f t="shared" si="0"/>
        <v>Nul</v>
      </c>
    </row>
    <row r="13" spans="3:8" ht="21.75" customHeight="1" x14ac:dyDescent="0.35">
      <c r="C13" s="19" t="s">
        <v>104</v>
      </c>
      <c r="D13" s="22" t="str">
        <f>C4</f>
        <v>Équipe 1</v>
      </c>
      <c r="E13" s="23">
        <v>0</v>
      </c>
      <c r="F13" s="23">
        <v>1</v>
      </c>
      <c r="G13" s="22" t="str">
        <f>C6</f>
        <v>Équipe 3</v>
      </c>
      <c r="H13" s="24" t="str">
        <f t="shared" si="0"/>
        <v>Équipe 3 gagne</v>
      </c>
    </row>
    <row r="14" spans="3:8" ht="21.75" customHeight="1" x14ac:dyDescent="0.35">
      <c r="C14" s="21" t="s">
        <v>105</v>
      </c>
      <c r="D14" s="25" t="str">
        <f>C5</f>
        <v>Équipe 2</v>
      </c>
      <c r="E14" s="23">
        <v>1</v>
      </c>
      <c r="F14" s="23">
        <v>0</v>
      </c>
      <c r="G14" s="25" t="str">
        <f>C7</f>
        <v>Équipe 4</v>
      </c>
      <c r="H14" s="26" t="str">
        <f t="shared" si="0"/>
        <v>Équipe 2 gagne</v>
      </c>
    </row>
    <row r="15" spans="3:8" ht="21.75" customHeight="1" x14ac:dyDescent="0.35">
      <c r="C15" s="19" t="s">
        <v>106</v>
      </c>
      <c r="D15" s="22" t="str">
        <f>C4</f>
        <v>Équipe 1</v>
      </c>
      <c r="E15" s="23">
        <v>4</v>
      </c>
      <c r="F15" s="23">
        <v>2</v>
      </c>
      <c r="G15" s="22" t="str">
        <f>C7</f>
        <v>Équipe 4</v>
      </c>
      <c r="H15" s="24" t="str">
        <f t="shared" si="0"/>
        <v>Équipe 1 gagne</v>
      </c>
    </row>
    <row r="16" spans="3:8" ht="21.75" customHeight="1" x14ac:dyDescent="0.35">
      <c r="C16" s="21" t="s">
        <v>107</v>
      </c>
      <c r="D16" s="25" t="str">
        <f>C5</f>
        <v>Équipe 2</v>
      </c>
      <c r="E16" s="23">
        <v>1</v>
      </c>
      <c r="F16" s="23">
        <v>0</v>
      </c>
      <c r="G16" s="25" t="str">
        <f>C6</f>
        <v>Équipe 3</v>
      </c>
      <c r="H16" s="26" t="str">
        <f t="shared" si="0"/>
        <v>Équipe 2 gagne</v>
      </c>
    </row>
    <row r="18" spans="3:14" ht="7.5" customHeight="1" x14ac:dyDescent="0.35"/>
    <row r="19" spans="3:14" ht="24.75" customHeight="1" x14ac:dyDescent="0.35">
      <c r="C19" s="131" t="s">
        <v>108</v>
      </c>
      <c r="D19" s="95"/>
      <c r="E19" s="95"/>
      <c r="F19" s="95"/>
      <c r="G19" s="95"/>
      <c r="H19" s="128"/>
    </row>
    <row r="20" spans="3:14" ht="24.75" customHeight="1" x14ac:dyDescent="0.35">
      <c r="C20" s="3" t="s">
        <v>3</v>
      </c>
      <c r="D20" s="3" t="s">
        <v>4</v>
      </c>
      <c r="E20" s="3" t="s">
        <v>5</v>
      </c>
      <c r="F20" s="3" t="s">
        <v>6</v>
      </c>
      <c r="G20" s="3" t="s">
        <v>7</v>
      </c>
      <c r="H20" s="3" t="s">
        <v>8</v>
      </c>
      <c r="I20" s="3" t="s">
        <v>9</v>
      </c>
      <c r="J20" s="3" t="s">
        <v>10</v>
      </c>
      <c r="K20" s="3" t="s">
        <v>11</v>
      </c>
      <c r="L20" s="3" t="s">
        <v>12</v>
      </c>
    </row>
    <row r="21" spans="3:14" ht="21.75" customHeight="1" x14ac:dyDescent="0.35">
      <c r="C21" s="19">
        <v>1</v>
      </c>
      <c r="D21" s="22" t="str">
        <f t="shared" ref="D21:L21" si="1">IFERROR(INDEX(D30:D33,MATCH(1,$N$30:$N$33,0)),"")</f>
        <v>Équipe 1</v>
      </c>
      <c r="E21" s="27">
        <f t="shared" si="1"/>
        <v>3</v>
      </c>
      <c r="F21" s="27">
        <f t="shared" si="1"/>
        <v>2</v>
      </c>
      <c r="G21" s="27">
        <f t="shared" si="1"/>
        <v>0</v>
      </c>
      <c r="H21" s="27">
        <f t="shared" si="1"/>
        <v>1</v>
      </c>
      <c r="I21" s="28">
        <f t="shared" si="1"/>
        <v>4</v>
      </c>
      <c r="J21" s="27">
        <f t="shared" si="1"/>
        <v>8</v>
      </c>
      <c r="K21" s="27">
        <f t="shared" si="1"/>
        <v>6</v>
      </c>
      <c r="L21" s="29">
        <f t="shared" si="1"/>
        <v>2</v>
      </c>
    </row>
    <row r="22" spans="3:14" ht="21.75" customHeight="1" x14ac:dyDescent="0.35">
      <c r="C22" s="21">
        <v>2</v>
      </c>
      <c r="D22" s="25" t="str">
        <f t="shared" ref="D22:L22" si="2">IFERROR(INDEX(D30:D33,MATCH(2,$N$30:$N$33,0)),"")</f>
        <v>Équipe 2</v>
      </c>
      <c r="E22" s="30">
        <f t="shared" si="2"/>
        <v>3</v>
      </c>
      <c r="F22" s="30">
        <f t="shared" si="2"/>
        <v>2</v>
      </c>
      <c r="G22" s="30">
        <f t="shared" si="2"/>
        <v>0</v>
      </c>
      <c r="H22" s="30">
        <f t="shared" si="2"/>
        <v>1</v>
      </c>
      <c r="I22" s="28">
        <f t="shared" si="2"/>
        <v>4</v>
      </c>
      <c r="J22" s="30">
        <f t="shared" si="2"/>
        <v>5</v>
      </c>
      <c r="K22" s="30">
        <f t="shared" si="2"/>
        <v>4</v>
      </c>
      <c r="L22" s="29">
        <f t="shared" si="2"/>
        <v>1</v>
      </c>
    </row>
    <row r="23" spans="3:14" ht="21.75" customHeight="1" x14ac:dyDescent="0.35">
      <c r="C23" s="19">
        <v>3</v>
      </c>
      <c r="D23" s="22" t="str">
        <f t="shared" ref="D23:L23" si="3">IFERROR(INDEX(D30:D33,MATCH(3,$N$30:$N$33,0)),"")</f>
        <v>Équipe 3</v>
      </c>
      <c r="E23" s="27">
        <f t="shared" si="3"/>
        <v>3</v>
      </c>
      <c r="F23" s="27">
        <f t="shared" si="3"/>
        <v>1</v>
      </c>
      <c r="G23" s="27">
        <f t="shared" si="3"/>
        <v>1</v>
      </c>
      <c r="H23" s="27">
        <f t="shared" si="3"/>
        <v>1</v>
      </c>
      <c r="I23" s="28">
        <f t="shared" si="3"/>
        <v>3</v>
      </c>
      <c r="J23" s="27">
        <f t="shared" si="3"/>
        <v>2</v>
      </c>
      <c r="K23" s="27">
        <f t="shared" si="3"/>
        <v>2</v>
      </c>
      <c r="L23" s="29">
        <f t="shared" si="3"/>
        <v>0</v>
      </c>
    </row>
    <row r="24" spans="3:14" ht="21.75" customHeight="1" x14ac:dyDescent="0.35">
      <c r="C24" s="21">
        <v>4</v>
      </c>
      <c r="D24" s="25" t="str">
        <f t="shared" ref="D24:L24" si="4">IFERROR(INDEX(D30:D33,MATCH(4,$N$30:$N$33,0)),"")</f>
        <v>Équipe 4</v>
      </c>
      <c r="E24" s="30">
        <f t="shared" si="4"/>
        <v>3</v>
      </c>
      <c r="F24" s="30">
        <f t="shared" si="4"/>
        <v>0</v>
      </c>
      <c r="G24" s="30">
        <f t="shared" si="4"/>
        <v>1</v>
      </c>
      <c r="H24" s="30">
        <f t="shared" si="4"/>
        <v>2</v>
      </c>
      <c r="I24" s="28">
        <f t="shared" si="4"/>
        <v>1</v>
      </c>
      <c r="J24" s="30">
        <f t="shared" si="4"/>
        <v>3</v>
      </c>
      <c r="K24" s="30">
        <f t="shared" si="4"/>
        <v>6</v>
      </c>
      <c r="L24" s="29">
        <f t="shared" si="4"/>
        <v>-3</v>
      </c>
    </row>
    <row r="26" spans="3:14" ht="30" customHeight="1" x14ac:dyDescent="0.35">
      <c r="C26" s="132" t="s">
        <v>109</v>
      </c>
      <c r="D26" s="92"/>
      <c r="E26" s="92"/>
      <c r="F26" s="92"/>
      <c r="G26" s="92"/>
      <c r="H26" s="92"/>
      <c r="I26" s="92"/>
      <c r="J26" s="92"/>
      <c r="K26" s="92"/>
      <c r="L26" s="92"/>
    </row>
    <row r="30" spans="3:14" hidden="1" x14ac:dyDescent="0.35">
      <c r="C30">
        <v>1</v>
      </c>
      <c r="D30" t="str">
        <f>C4</f>
        <v>Équipe 1</v>
      </c>
      <c r="E30">
        <f>3</f>
        <v>3</v>
      </c>
      <c r="F30">
        <f>IF(E11&gt;F11,1,0)+IF(E13&gt;F13,1,0)+IF(E15&gt;F15,1,0)</f>
        <v>2</v>
      </c>
      <c r="G30">
        <f>IF(E11=F11,1,0)+IF(E13=F13,1,0)+IF(E15=F15,1,0)</f>
        <v>0</v>
      </c>
      <c r="H30">
        <f>IF(E11&lt;F11,1,0)+IF(E13&lt;F13,1,0)+IF(E15&lt;F15,1,0)</f>
        <v>1</v>
      </c>
      <c r="I30">
        <f>2*(IF(E11&gt;F11,1,0)+IF(E13&gt;F13,1,0)+IF(E15&gt;F15,1,0))+(IF(E11=F11,1,0)+IF(E13=F13,1,0)+IF(E15=F15,1,0))</f>
        <v>4</v>
      </c>
      <c r="J30">
        <f>E11+E13+E15</f>
        <v>8</v>
      </c>
      <c r="K30">
        <f>F11+F13+F15</f>
        <v>6</v>
      </c>
      <c r="L30">
        <f>(E11+E13+E15)-(F11+F13+F15)</f>
        <v>2</v>
      </c>
      <c r="M30">
        <f>I30*1000+L30</f>
        <v>4002</v>
      </c>
      <c r="N30">
        <f>RANK(M30,$M$30:$M$33,0)+COUNTIF($M$30:M30,M30)-1</f>
        <v>1</v>
      </c>
    </row>
    <row r="31" spans="3:14" hidden="1" x14ac:dyDescent="0.35">
      <c r="C31">
        <v>2</v>
      </c>
      <c r="D31" t="str">
        <f>C5</f>
        <v>Équipe 2</v>
      </c>
      <c r="E31">
        <f>3</f>
        <v>3</v>
      </c>
      <c r="F31">
        <f>IF(F11&gt;E11,1,0)+IF(E14&gt;F14,1,0)+IF(E16&gt;F16,1,0)</f>
        <v>2</v>
      </c>
      <c r="G31">
        <f>IF(F11=E11,1,0)+IF(E14=F14,1,0)+IF(E16=F16,1,0)</f>
        <v>0</v>
      </c>
      <c r="H31">
        <f>IF(F11&lt;E11,1,0)+IF(E14&lt;F14,1,0)+IF(E16&lt;F16,1,0)</f>
        <v>1</v>
      </c>
      <c r="I31">
        <f>2*(IF(F11&gt;E11,1,0)+IF(E14&gt;F14,1,0)+IF(E16&gt;F16,1,0))+(IF(F11=E11,1,0)+IF(E14=F14,1,0)+IF(E16=F16,1,0))</f>
        <v>4</v>
      </c>
      <c r="J31">
        <f>F11+E14+E16</f>
        <v>5</v>
      </c>
      <c r="K31">
        <f>E11+F14+F16</f>
        <v>4</v>
      </c>
      <c r="L31">
        <f>(F11+E14+E16)-(E11+F14+F16)</f>
        <v>1</v>
      </c>
      <c r="M31">
        <f>I31*1000+L31</f>
        <v>4001</v>
      </c>
      <c r="N31">
        <f>RANK(M31,$M$30:$M$33,0)+COUNTIF($M$30:M31,M31)-1</f>
        <v>2</v>
      </c>
    </row>
    <row r="32" spans="3:14" hidden="1" x14ac:dyDescent="0.35">
      <c r="C32">
        <v>3</v>
      </c>
      <c r="D32" t="str">
        <f>C6</f>
        <v>Équipe 3</v>
      </c>
      <c r="E32">
        <f>3</f>
        <v>3</v>
      </c>
      <c r="F32">
        <f>IF(E12&gt;F12,1,0)+IF(F13&gt;E13,1,0)+IF(F16&gt;E16,1,0)</f>
        <v>1</v>
      </c>
      <c r="G32">
        <f>IF(E12=F12,1,0)+IF(F13=E13,1,0)+IF(F16=E16,1,0)</f>
        <v>1</v>
      </c>
      <c r="H32">
        <f>IF(E12&lt;F12,1,0)+IF(F13&lt;E13,1,0)+IF(F16&lt;E16,1,0)</f>
        <v>1</v>
      </c>
      <c r="I32">
        <f>2*(IF(E12&gt;F12,1,0)+IF(F13&gt;E13,1,0)+IF(F16&gt;E16,1,0))+(IF(E12=F12,1,0)+IF(F13=E13,1,0)+IF(F16=E16,1,0))</f>
        <v>3</v>
      </c>
      <c r="J32">
        <f>E12+F13+F16</f>
        <v>2</v>
      </c>
      <c r="K32">
        <f>F12+E13+E16</f>
        <v>2</v>
      </c>
      <c r="L32">
        <f>(E12+F13+F16)-(F12+E13+E16)</f>
        <v>0</v>
      </c>
      <c r="M32">
        <f>I32*1000+L32</f>
        <v>3000</v>
      </c>
      <c r="N32">
        <f>RANK(M32,$M$30:$M$33,0)+COUNTIF($M$30:M32,M32)-1</f>
        <v>3</v>
      </c>
    </row>
    <row r="33" spans="3:14" hidden="1" x14ac:dyDescent="0.35">
      <c r="C33">
        <v>4</v>
      </c>
      <c r="D33" t="str">
        <f>C7</f>
        <v>Équipe 4</v>
      </c>
      <c r="E33">
        <f>3</f>
        <v>3</v>
      </c>
      <c r="F33">
        <f>IF(F12&gt;E12,1,0)+IF(F14&gt;E14,1,0)+IF(F15&gt;E15,1,0)</f>
        <v>0</v>
      </c>
      <c r="G33">
        <f>IF(F12=E12,1,0)+IF(F14=E14,1,0)+IF(F15=E15,1,0)</f>
        <v>1</v>
      </c>
      <c r="H33">
        <f>IF(F12&lt;E12,1,0)+IF(F14&lt;E14,1,0)+IF(F15&lt;E15,1,0)</f>
        <v>2</v>
      </c>
      <c r="I33">
        <f>2*(IF(F12&gt;E12,1,0)+IF(F14&gt;E14,1,0)+IF(F15&gt;E15,1,0))+(IF(F12=E12,1,0)+IF(F14=E14,1,0)+IF(F15=E15,1,0))</f>
        <v>1</v>
      </c>
      <c r="J33">
        <f>F12+F14+F15</f>
        <v>3</v>
      </c>
      <c r="K33">
        <f>E12+E14+E15</f>
        <v>6</v>
      </c>
      <c r="L33">
        <f>(F12+F14+F15)-(E12+E14+E15)</f>
        <v>-3</v>
      </c>
      <c r="M33">
        <f>I33*1000+L33</f>
        <v>997</v>
      </c>
      <c r="N33">
        <f>RANK(M33,$M$30:$M$33,0)+COUNTIF($M$30:M33,M33)-1</f>
        <v>4</v>
      </c>
    </row>
  </sheetData>
  <mergeCells count="8">
    <mergeCell ref="C26:L26"/>
    <mergeCell ref="C5:D5"/>
    <mergeCell ref="C3:D3"/>
    <mergeCell ref="C1:H1"/>
    <mergeCell ref="C4:D4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C1:N33"/>
  <sheetViews>
    <sheetView topLeftCell="A4" zoomScaleNormal="100" workbookViewId="0">
      <selection activeCell="E12" sqref="E12"/>
    </sheetView>
  </sheetViews>
  <sheetFormatPr baseColWidth="10" defaultColWidth="8.6328125" defaultRowHeight="14.5" x14ac:dyDescent="0.35"/>
  <cols>
    <col min="2" max="2" width="3" customWidth="1"/>
    <col min="3" max="3" width="9.7265625" customWidth="1"/>
    <col min="4" max="4" width="22" customWidth="1"/>
    <col min="5" max="7" width="11.08984375" customWidth="1"/>
    <col min="8" max="8" width="15.6328125" customWidth="1"/>
    <col min="9" max="11" width="5" customWidth="1"/>
    <col min="12" max="12" width="8" customWidth="1"/>
  </cols>
  <sheetData>
    <row r="1" spans="3:8" ht="34.5" customHeight="1" x14ac:dyDescent="0.35">
      <c r="C1" s="133" t="s">
        <v>110</v>
      </c>
      <c r="D1" s="95"/>
      <c r="E1" s="95"/>
      <c r="F1" s="95"/>
      <c r="G1" s="95"/>
      <c r="H1" s="95"/>
    </row>
    <row r="3" spans="3:8" ht="15" customHeight="1" x14ac:dyDescent="0.35">
      <c r="C3" s="94" t="s">
        <v>97</v>
      </c>
      <c r="D3" s="95"/>
      <c r="E3" s="2" t="s">
        <v>32</v>
      </c>
    </row>
    <row r="4" spans="3:8" ht="19.5" customHeight="1" x14ac:dyDescent="0.35">
      <c r="C4" s="130" t="str">
        <f>'📝 Équipes'!D7</f>
        <v>Équipe 5</v>
      </c>
      <c r="D4" s="95"/>
      <c r="E4" s="21">
        <v>5</v>
      </c>
    </row>
    <row r="5" spans="3:8" ht="19.5" customHeight="1" x14ac:dyDescent="0.35">
      <c r="C5" s="130" t="str">
        <f>'📝 Équipes'!D8</f>
        <v>Équipe 6</v>
      </c>
      <c r="D5" s="95"/>
      <c r="E5" s="21">
        <v>6</v>
      </c>
    </row>
    <row r="6" spans="3:8" ht="19.5" customHeight="1" x14ac:dyDescent="0.35">
      <c r="C6" s="130" t="str">
        <f>'📝 Équipes'!D9</f>
        <v>Équipe 7</v>
      </c>
      <c r="D6" s="95"/>
      <c r="E6" s="21">
        <v>7</v>
      </c>
    </row>
    <row r="7" spans="3:8" ht="19.5" customHeight="1" x14ac:dyDescent="0.35">
      <c r="C7" s="130" t="str">
        <f>'📝 Équipes'!D10</f>
        <v>Équipe 8</v>
      </c>
      <c r="D7" s="95"/>
      <c r="E7" s="21">
        <v>8</v>
      </c>
    </row>
    <row r="9" spans="3:8" ht="7.5" customHeight="1" x14ac:dyDescent="0.35"/>
    <row r="10" spans="3:8" ht="24.75" customHeight="1" x14ac:dyDescent="0.35">
      <c r="C10" s="2" t="s">
        <v>98</v>
      </c>
      <c r="D10" s="2" t="s">
        <v>36</v>
      </c>
      <c r="E10" s="2" t="s">
        <v>99</v>
      </c>
      <c r="F10" s="2" t="s">
        <v>100</v>
      </c>
      <c r="G10" s="2" t="s">
        <v>40</v>
      </c>
      <c r="H10" s="2" t="s">
        <v>101</v>
      </c>
    </row>
    <row r="11" spans="3:8" ht="21.75" customHeight="1" x14ac:dyDescent="0.35">
      <c r="C11" s="19" t="s">
        <v>102</v>
      </c>
      <c r="D11" s="22" t="str">
        <f>C4</f>
        <v>Équipe 5</v>
      </c>
      <c r="E11" s="23">
        <v>1</v>
      </c>
      <c r="F11" s="23">
        <v>1</v>
      </c>
      <c r="G11" s="22" t="str">
        <f>C5</f>
        <v>Équipe 6</v>
      </c>
      <c r="H11" s="24" t="str">
        <f t="shared" ref="H11:H16" si="0">IF(E11&gt;F11,D11&amp;" gagne",IF(E11&lt;F11,G11&amp;" gagne","Nul"))</f>
        <v>Nul</v>
      </c>
    </row>
    <row r="12" spans="3:8" ht="21.75" customHeight="1" x14ac:dyDescent="0.35">
      <c r="C12" s="21" t="s">
        <v>103</v>
      </c>
      <c r="D12" s="25" t="str">
        <f>C6</f>
        <v>Équipe 7</v>
      </c>
      <c r="E12" s="23">
        <v>0</v>
      </c>
      <c r="F12" s="23">
        <v>0</v>
      </c>
      <c r="G12" s="25" t="str">
        <f>C7</f>
        <v>Équipe 8</v>
      </c>
      <c r="H12" s="26" t="str">
        <f t="shared" si="0"/>
        <v>Nul</v>
      </c>
    </row>
    <row r="13" spans="3:8" ht="21.75" customHeight="1" x14ac:dyDescent="0.35">
      <c r="C13" s="19" t="s">
        <v>104</v>
      </c>
      <c r="D13" s="22" t="str">
        <f>C4</f>
        <v>Équipe 5</v>
      </c>
      <c r="E13" s="23">
        <v>1</v>
      </c>
      <c r="F13" s="23">
        <v>1</v>
      </c>
      <c r="G13" s="22" t="str">
        <f>C6</f>
        <v>Équipe 7</v>
      </c>
      <c r="H13" s="24" t="str">
        <f t="shared" si="0"/>
        <v>Nul</v>
      </c>
    </row>
    <row r="14" spans="3:8" ht="21.75" customHeight="1" x14ac:dyDescent="0.35">
      <c r="C14" s="21" t="s">
        <v>105</v>
      </c>
      <c r="D14" s="25" t="str">
        <f>C5</f>
        <v>Équipe 6</v>
      </c>
      <c r="E14" s="23">
        <v>0</v>
      </c>
      <c r="F14" s="23">
        <v>0</v>
      </c>
      <c r="G14" s="25" t="str">
        <f>C7</f>
        <v>Équipe 8</v>
      </c>
      <c r="H14" s="26" t="str">
        <f t="shared" si="0"/>
        <v>Nul</v>
      </c>
    </row>
    <row r="15" spans="3:8" ht="21.75" customHeight="1" x14ac:dyDescent="0.35">
      <c r="C15" s="19" t="s">
        <v>106</v>
      </c>
      <c r="D15" s="22" t="str">
        <f>C4</f>
        <v>Équipe 5</v>
      </c>
      <c r="E15" s="23">
        <v>0</v>
      </c>
      <c r="F15" s="23">
        <v>0</v>
      </c>
      <c r="G15" s="22" t="str">
        <f>C7</f>
        <v>Équipe 8</v>
      </c>
      <c r="H15" s="24" t="str">
        <f t="shared" si="0"/>
        <v>Nul</v>
      </c>
    </row>
    <row r="16" spans="3:8" ht="21.75" customHeight="1" x14ac:dyDescent="0.35">
      <c r="C16" s="21" t="s">
        <v>107</v>
      </c>
      <c r="D16" s="25" t="str">
        <f>C5</f>
        <v>Équipe 6</v>
      </c>
      <c r="E16" s="23">
        <v>0</v>
      </c>
      <c r="F16" s="23">
        <v>0</v>
      </c>
      <c r="G16" s="25" t="str">
        <f>C6</f>
        <v>Équipe 7</v>
      </c>
      <c r="H16" s="26" t="str">
        <f t="shared" si="0"/>
        <v>Nul</v>
      </c>
    </row>
    <row r="18" spans="3:14" ht="7.5" customHeight="1" x14ac:dyDescent="0.35"/>
    <row r="19" spans="3:14" ht="24.75" customHeight="1" x14ac:dyDescent="0.35">
      <c r="C19" s="134" t="s">
        <v>108</v>
      </c>
      <c r="D19" s="95"/>
      <c r="E19" s="95"/>
      <c r="F19" s="95"/>
      <c r="G19" s="95"/>
      <c r="H19" s="128"/>
    </row>
    <row r="20" spans="3:14" ht="24.75" customHeight="1" x14ac:dyDescent="0.35">
      <c r="C20" s="2" t="s">
        <v>3</v>
      </c>
      <c r="D20" s="2" t="s">
        <v>4</v>
      </c>
      <c r="E20" s="2" t="s">
        <v>5</v>
      </c>
      <c r="F20" s="2" t="s">
        <v>6</v>
      </c>
      <c r="G20" s="2" t="s">
        <v>7</v>
      </c>
      <c r="H20" s="2" t="s">
        <v>8</v>
      </c>
      <c r="I20" s="2" t="s">
        <v>9</v>
      </c>
      <c r="J20" s="2" t="s">
        <v>10</v>
      </c>
      <c r="K20" s="2" t="s">
        <v>11</v>
      </c>
      <c r="L20" s="2" t="s">
        <v>12</v>
      </c>
    </row>
    <row r="21" spans="3:14" ht="21.75" customHeight="1" x14ac:dyDescent="0.35">
      <c r="C21" s="19">
        <v>1</v>
      </c>
      <c r="D21" s="22" t="str">
        <f t="shared" ref="D21:L21" si="1">IFERROR(INDEX(D30:D33,MATCH(1,$N$30:$N$33,0)),"")</f>
        <v>Équipe 5</v>
      </c>
      <c r="E21" s="27">
        <f t="shared" si="1"/>
        <v>3</v>
      </c>
      <c r="F21" s="27">
        <f t="shared" si="1"/>
        <v>0</v>
      </c>
      <c r="G21" s="27">
        <f t="shared" si="1"/>
        <v>3</v>
      </c>
      <c r="H21" s="27">
        <f t="shared" si="1"/>
        <v>0</v>
      </c>
      <c r="I21" s="28">
        <f t="shared" si="1"/>
        <v>3</v>
      </c>
      <c r="J21" s="27">
        <f t="shared" si="1"/>
        <v>2</v>
      </c>
      <c r="K21" s="27">
        <f t="shared" si="1"/>
        <v>2</v>
      </c>
      <c r="L21" s="29">
        <f t="shared" si="1"/>
        <v>0</v>
      </c>
    </row>
    <row r="22" spans="3:14" ht="21.75" customHeight="1" x14ac:dyDescent="0.35">
      <c r="C22" s="21">
        <v>2</v>
      </c>
      <c r="D22" s="25" t="str">
        <f t="shared" ref="D22:L22" si="2">IFERROR(INDEX(D30:D33,MATCH(2,$N$30:$N$33,0)),"")</f>
        <v>Équipe 6</v>
      </c>
      <c r="E22" s="30">
        <f t="shared" si="2"/>
        <v>3</v>
      </c>
      <c r="F22" s="30">
        <f t="shared" si="2"/>
        <v>0</v>
      </c>
      <c r="G22" s="30">
        <f t="shared" si="2"/>
        <v>3</v>
      </c>
      <c r="H22" s="30">
        <f t="shared" si="2"/>
        <v>0</v>
      </c>
      <c r="I22" s="28">
        <f t="shared" si="2"/>
        <v>3</v>
      </c>
      <c r="J22" s="30">
        <f t="shared" si="2"/>
        <v>1</v>
      </c>
      <c r="K22" s="30">
        <f t="shared" si="2"/>
        <v>1</v>
      </c>
      <c r="L22" s="29">
        <f t="shared" si="2"/>
        <v>0</v>
      </c>
    </row>
    <row r="23" spans="3:14" ht="21.75" customHeight="1" x14ac:dyDescent="0.35">
      <c r="C23" s="19">
        <v>3</v>
      </c>
      <c r="D23" s="22" t="str">
        <f t="shared" ref="D23:L23" si="3">IFERROR(INDEX(D30:D33,MATCH(3,$N$30:$N$33,0)),"")</f>
        <v>Équipe 7</v>
      </c>
      <c r="E23" s="27">
        <f t="shared" si="3"/>
        <v>3</v>
      </c>
      <c r="F23" s="27">
        <f t="shared" si="3"/>
        <v>0</v>
      </c>
      <c r="G23" s="27">
        <f t="shared" si="3"/>
        <v>3</v>
      </c>
      <c r="H23" s="27">
        <f t="shared" si="3"/>
        <v>0</v>
      </c>
      <c r="I23" s="28">
        <f t="shared" si="3"/>
        <v>3</v>
      </c>
      <c r="J23" s="27">
        <f t="shared" si="3"/>
        <v>1</v>
      </c>
      <c r="K23" s="27">
        <f t="shared" si="3"/>
        <v>1</v>
      </c>
      <c r="L23" s="29">
        <f t="shared" si="3"/>
        <v>0</v>
      </c>
    </row>
    <row r="24" spans="3:14" ht="21.75" customHeight="1" x14ac:dyDescent="0.35">
      <c r="C24" s="21">
        <v>4</v>
      </c>
      <c r="D24" s="25" t="str">
        <f t="shared" ref="D24:L24" si="4">IFERROR(INDEX(D30:D33,MATCH(4,$N$30:$N$33,0)),"")</f>
        <v>Équipe 8</v>
      </c>
      <c r="E24" s="30">
        <f t="shared" si="4"/>
        <v>3</v>
      </c>
      <c r="F24" s="30">
        <f t="shared" si="4"/>
        <v>0</v>
      </c>
      <c r="G24" s="30">
        <f t="shared" si="4"/>
        <v>3</v>
      </c>
      <c r="H24" s="30">
        <f t="shared" si="4"/>
        <v>0</v>
      </c>
      <c r="I24" s="28">
        <f t="shared" si="4"/>
        <v>3</v>
      </c>
      <c r="J24" s="30">
        <f t="shared" si="4"/>
        <v>0</v>
      </c>
      <c r="K24" s="30">
        <f t="shared" si="4"/>
        <v>0</v>
      </c>
      <c r="L24" s="29">
        <f t="shared" si="4"/>
        <v>0</v>
      </c>
    </row>
    <row r="26" spans="3:14" ht="30" customHeight="1" x14ac:dyDescent="0.35">
      <c r="C26" s="132" t="s">
        <v>109</v>
      </c>
      <c r="D26" s="92"/>
      <c r="E26" s="92"/>
      <c r="F26" s="92"/>
      <c r="G26" s="92"/>
      <c r="H26" s="92"/>
      <c r="I26" s="92"/>
      <c r="J26" s="92"/>
      <c r="K26" s="92"/>
      <c r="L26" s="92"/>
    </row>
    <row r="30" spans="3:14" hidden="1" x14ac:dyDescent="0.35">
      <c r="C30">
        <v>1</v>
      </c>
      <c r="D30" t="str">
        <f>C4</f>
        <v>Équipe 5</v>
      </c>
      <c r="E30">
        <f>3</f>
        <v>3</v>
      </c>
      <c r="F30">
        <f>IF(E11&gt;F11,1,0)+IF(E13&gt;F13,1,0)+IF(E15&gt;F15,1,0)</f>
        <v>0</v>
      </c>
      <c r="G30">
        <f>IF(E11=F11,1,0)+IF(E13=F13,1,0)+IF(E15=F15,1,0)</f>
        <v>3</v>
      </c>
      <c r="H30">
        <f>IF(E11&lt;F11,1,0)+IF(E13&lt;F13,1,0)+IF(E15&lt;F15,1,0)</f>
        <v>0</v>
      </c>
      <c r="I30">
        <f>2*(IF(E11&gt;F11,1,0)+IF(E13&gt;F13,1,0)+IF(E15&gt;F15,1,0))+(IF(E11=F11,1,0)+IF(E13=F13,1,0)+IF(E15=F15,1,0))</f>
        <v>3</v>
      </c>
      <c r="J30">
        <f>E11+E13+E15</f>
        <v>2</v>
      </c>
      <c r="K30">
        <f>F11+F13+F15</f>
        <v>2</v>
      </c>
      <c r="L30">
        <f>(E11+E13+E15)-(F11+F13+F15)</f>
        <v>0</v>
      </c>
      <c r="M30">
        <f>I30*1000+L30</f>
        <v>3000</v>
      </c>
      <c r="N30">
        <f>RANK(M30,$M$30:$M$33,0)+COUNTIF($M$30:M30,M30)-1</f>
        <v>1</v>
      </c>
    </row>
    <row r="31" spans="3:14" hidden="1" x14ac:dyDescent="0.35">
      <c r="C31">
        <v>2</v>
      </c>
      <c r="D31" t="str">
        <f>C5</f>
        <v>Équipe 6</v>
      </c>
      <c r="E31">
        <f>3</f>
        <v>3</v>
      </c>
      <c r="F31">
        <f>IF(F11&gt;E11,1,0)+IF(E14&gt;F14,1,0)+IF(E16&gt;F16,1,0)</f>
        <v>0</v>
      </c>
      <c r="G31">
        <f>IF(F11=E11,1,0)+IF(E14=F14,1,0)+IF(E16=F16,1,0)</f>
        <v>3</v>
      </c>
      <c r="H31">
        <f>IF(F11&lt;E11,1,0)+IF(E14&lt;F14,1,0)+IF(E16&lt;F16,1,0)</f>
        <v>0</v>
      </c>
      <c r="I31">
        <f>2*(IF(F11&gt;E11,1,0)+IF(E14&gt;F14,1,0)+IF(E16&gt;F16,1,0))+(IF(F11=E11,1,0)+IF(E14=F14,1,0)+IF(E16=F16,1,0))</f>
        <v>3</v>
      </c>
      <c r="J31">
        <f>F11+E14+E16</f>
        <v>1</v>
      </c>
      <c r="K31">
        <f>E11+F14+F16</f>
        <v>1</v>
      </c>
      <c r="L31">
        <f>(F11+E14+E16)-(E11+F14+F16)</f>
        <v>0</v>
      </c>
      <c r="M31">
        <f>I31*1000+L31</f>
        <v>3000</v>
      </c>
      <c r="N31">
        <f>RANK(M31,$M$30:$M$33,0)+COUNTIF($M$30:M31,M31)-1</f>
        <v>2</v>
      </c>
    </row>
    <row r="32" spans="3:14" hidden="1" x14ac:dyDescent="0.35">
      <c r="C32">
        <v>3</v>
      </c>
      <c r="D32" t="str">
        <f>C6</f>
        <v>Équipe 7</v>
      </c>
      <c r="E32">
        <f>3</f>
        <v>3</v>
      </c>
      <c r="F32">
        <f>IF(E12&gt;F12,1,0)+IF(F13&gt;E13,1,0)+IF(F16&gt;E16,1,0)</f>
        <v>0</v>
      </c>
      <c r="G32">
        <f>IF(E12=F12,1,0)+IF(F13=E13,1,0)+IF(F16=E16,1,0)</f>
        <v>3</v>
      </c>
      <c r="H32">
        <f>IF(E12&lt;F12,1,0)+IF(F13&lt;E13,1,0)+IF(F16&lt;E16,1,0)</f>
        <v>0</v>
      </c>
      <c r="I32">
        <f>2*(IF(E12&gt;F12,1,0)+IF(F13&gt;E13,1,0)+IF(F16&gt;E16,1,0))+(IF(E12=F12,1,0)+IF(F13=E13,1,0)+IF(F16=E16,1,0))</f>
        <v>3</v>
      </c>
      <c r="J32">
        <f>E12+F13+F16</f>
        <v>1</v>
      </c>
      <c r="K32">
        <f>F12+E13+E16</f>
        <v>1</v>
      </c>
      <c r="L32">
        <f>(E12+F13+F16)-(F12+E13+E16)</f>
        <v>0</v>
      </c>
      <c r="M32">
        <f>I32*1000+L32</f>
        <v>3000</v>
      </c>
      <c r="N32">
        <f>RANK(M32,$M$30:$M$33,0)+COUNTIF($M$30:M32,M32)-1</f>
        <v>3</v>
      </c>
    </row>
    <row r="33" spans="3:14" hidden="1" x14ac:dyDescent="0.35">
      <c r="C33">
        <v>4</v>
      </c>
      <c r="D33" t="str">
        <f>C7</f>
        <v>Équipe 8</v>
      </c>
      <c r="E33">
        <f>3</f>
        <v>3</v>
      </c>
      <c r="F33">
        <f>IF(F12&gt;E12,1,0)+IF(F14&gt;E14,1,0)+IF(F15&gt;E15,1,0)</f>
        <v>0</v>
      </c>
      <c r="G33">
        <f>IF(F12=E12,1,0)+IF(F14=E14,1,0)+IF(F15=E15,1,0)</f>
        <v>3</v>
      </c>
      <c r="H33">
        <f>IF(F12&lt;E12,1,0)+IF(F14&lt;E14,1,0)+IF(F15&lt;E15,1,0)</f>
        <v>0</v>
      </c>
      <c r="I33">
        <f>2*(IF(F12&gt;E12,1,0)+IF(F14&gt;E14,1,0)+IF(F15&gt;E15,1,0))+(IF(F12=E12,1,0)+IF(F14=E14,1,0)+IF(F15=E15,1,0))</f>
        <v>3</v>
      </c>
      <c r="J33">
        <f>F12+F14+F15</f>
        <v>0</v>
      </c>
      <c r="K33">
        <f>E12+E14+E15</f>
        <v>0</v>
      </c>
      <c r="L33">
        <f>(F12+F14+F15)-(E12+E14+E15)</f>
        <v>0</v>
      </c>
      <c r="M33">
        <f>I33*1000+L33</f>
        <v>3000</v>
      </c>
      <c r="N33">
        <f>RANK(M33,$M$30:$M$33,0)+COUNTIF($M$30:M33,M33)-1</f>
        <v>4</v>
      </c>
    </row>
  </sheetData>
  <mergeCells count="8">
    <mergeCell ref="C26:L26"/>
    <mergeCell ref="C5:D5"/>
    <mergeCell ref="C3:D3"/>
    <mergeCell ref="C1:H1"/>
    <mergeCell ref="C4:D4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C1:N33"/>
  <sheetViews>
    <sheetView topLeftCell="A7" zoomScaleNormal="100" workbookViewId="0">
      <selection activeCell="F11" sqref="F11"/>
    </sheetView>
  </sheetViews>
  <sheetFormatPr baseColWidth="10" defaultColWidth="8.6328125" defaultRowHeight="14.5" x14ac:dyDescent="0.35"/>
  <cols>
    <col min="2" max="2" width="3" customWidth="1"/>
    <col min="3" max="3" width="9.90625" customWidth="1"/>
    <col min="4" max="4" width="22" customWidth="1"/>
    <col min="5" max="7" width="11.453125" customWidth="1"/>
    <col min="8" max="8" width="15.6328125" customWidth="1"/>
    <col min="9" max="11" width="5" customWidth="1"/>
    <col min="12" max="12" width="8" customWidth="1"/>
  </cols>
  <sheetData>
    <row r="1" spans="3:8" ht="34.5" customHeight="1" x14ac:dyDescent="0.35">
      <c r="C1" s="135" t="s">
        <v>111</v>
      </c>
      <c r="D1" s="95"/>
      <c r="E1" s="95"/>
      <c r="F1" s="95"/>
      <c r="G1" s="95"/>
      <c r="H1" s="95"/>
    </row>
    <row r="3" spans="3:8" ht="15" customHeight="1" x14ac:dyDescent="0.35">
      <c r="C3" s="122" t="s">
        <v>97</v>
      </c>
      <c r="D3" s="95"/>
      <c r="E3" s="1" t="s">
        <v>32</v>
      </c>
    </row>
    <row r="4" spans="3:8" ht="19.5" customHeight="1" x14ac:dyDescent="0.35">
      <c r="C4" s="130" t="str">
        <f>'📝 Équipes'!D11</f>
        <v>Équipe 9</v>
      </c>
      <c r="D4" s="95"/>
      <c r="E4" s="21">
        <v>9</v>
      </c>
    </row>
    <row r="5" spans="3:8" ht="19.5" customHeight="1" x14ac:dyDescent="0.35">
      <c r="C5" s="130" t="str">
        <f>'📝 Équipes'!D12</f>
        <v>Équipe 10</v>
      </c>
      <c r="D5" s="95"/>
      <c r="E5" s="21">
        <v>10</v>
      </c>
    </row>
    <row r="6" spans="3:8" ht="19.5" customHeight="1" x14ac:dyDescent="0.35">
      <c r="C6" s="130" t="str">
        <f>'📝 Équipes'!D13</f>
        <v>Équipe 11</v>
      </c>
      <c r="D6" s="95"/>
      <c r="E6" s="21">
        <v>11</v>
      </c>
    </row>
    <row r="7" spans="3:8" ht="19.5" customHeight="1" x14ac:dyDescent="0.35">
      <c r="C7" s="130" t="str">
        <f>'📝 Équipes'!D14</f>
        <v>Équipe 12</v>
      </c>
      <c r="D7" s="95"/>
      <c r="E7" s="21">
        <v>12</v>
      </c>
    </row>
    <row r="9" spans="3:8" ht="7.5" customHeight="1" x14ac:dyDescent="0.35"/>
    <row r="10" spans="3:8" ht="24.75" customHeight="1" x14ac:dyDescent="0.35">
      <c r="C10" s="1" t="s">
        <v>98</v>
      </c>
      <c r="D10" s="1" t="s">
        <v>36</v>
      </c>
      <c r="E10" s="1" t="s">
        <v>99</v>
      </c>
      <c r="F10" s="1" t="s">
        <v>100</v>
      </c>
      <c r="G10" s="1" t="s">
        <v>40</v>
      </c>
      <c r="H10" s="1" t="s">
        <v>101</v>
      </c>
    </row>
    <row r="11" spans="3:8" ht="21.75" customHeight="1" x14ac:dyDescent="0.35">
      <c r="C11" s="19" t="s">
        <v>102</v>
      </c>
      <c r="D11" s="22" t="str">
        <f>C4</f>
        <v>Équipe 9</v>
      </c>
      <c r="E11" s="23">
        <v>3</v>
      </c>
      <c r="F11" s="23">
        <v>4</v>
      </c>
      <c r="G11" s="22" t="str">
        <f>C5</f>
        <v>Équipe 10</v>
      </c>
      <c r="H11" s="24" t="str">
        <f t="shared" ref="H11:H16" si="0">IF(E11&gt;F11,D11&amp;" gagne",IF(E11&lt;F11,G11&amp;" gagne","Nul"))</f>
        <v>Équipe 10 gagne</v>
      </c>
    </row>
    <row r="12" spans="3:8" ht="21.75" customHeight="1" x14ac:dyDescent="0.35">
      <c r="C12" s="21" t="s">
        <v>103</v>
      </c>
      <c r="D12" s="25" t="str">
        <f>C6</f>
        <v>Équipe 11</v>
      </c>
      <c r="E12" s="23">
        <v>12</v>
      </c>
      <c r="F12" s="23">
        <v>2</v>
      </c>
      <c r="G12" s="25" t="str">
        <f>C7</f>
        <v>Équipe 12</v>
      </c>
      <c r="H12" s="26" t="str">
        <f t="shared" si="0"/>
        <v>Équipe 11 gagne</v>
      </c>
    </row>
    <row r="13" spans="3:8" ht="21.75" customHeight="1" x14ac:dyDescent="0.35">
      <c r="C13" s="19" t="s">
        <v>104</v>
      </c>
      <c r="D13" s="22" t="str">
        <f>C4</f>
        <v>Équipe 9</v>
      </c>
      <c r="E13" s="23">
        <v>4</v>
      </c>
      <c r="F13" s="23">
        <v>1</v>
      </c>
      <c r="G13" s="22" t="str">
        <f>C6</f>
        <v>Équipe 11</v>
      </c>
      <c r="H13" s="24" t="str">
        <f t="shared" si="0"/>
        <v>Équipe 9 gagne</v>
      </c>
    </row>
    <row r="14" spans="3:8" ht="21.75" customHeight="1" x14ac:dyDescent="0.35">
      <c r="C14" s="21" t="s">
        <v>105</v>
      </c>
      <c r="D14" s="25" t="str">
        <f>C5</f>
        <v>Équipe 10</v>
      </c>
      <c r="E14" s="23">
        <v>3</v>
      </c>
      <c r="F14" s="23">
        <v>1</v>
      </c>
      <c r="G14" s="25" t="str">
        <f>C7</f>
        <v>Équipe 12</v>
      </c>
      <c r="H14" s="26" t="str">
        <f t="shared" si="0"/>
        <v>Équipe 10 gagne</v>
      </c>
    </row>
    <row r="15" spans="3:8" ht="21.75" customHeight="1" x14ac:dyDescent="0.35">
      <c r="C15" s="19" t="s">
        <v>106</v>
      </c>
      <c r="D15" s="22" t="str">
        <f>C4</f>
        <v>Équipe 9</v>
      </c>
      <c r="E15" s="23">
        <v>3</v>
      </c>
      <c r="F15" s="23">
        <v>4</v>
      </c>
      <c r="G15" s="22" t="str">
        <f>C7</f>
        <v>Équipe 12</v>
      </c>
      <c r="H15" s="24" t="str">
        <f t="shared" si="0"/>
        <v>Équipe 12 gagne</v>
      </c>
    </row>
    <row r="16" spans="3:8" ht="21.75" customHeight="1" x14ac:dyDescent="0.35">
      <c r="C16" s="21" t="s">
        <v>107</v>
      </c>
      <c r="D16" s="25" t="str">
        <f>C5</f>
        <v>Équipe 10</v>
      </c>
      <c r="E16" s="23">
        <v>4</v>
      </c>
      <c r="F16" s="23">
        <v>1</v>
      </c>
      <c r="G16" s="25" t="str">
        <f>C6</f>
        <v>Équipe 11</v>
      </c>
      <c r="H16" s="26" t="str">
        <f t="shared" si="0"/>
        <v>Équipe 10 gagne</v>
      </c>
    </row>
    <row r="18" spans="3:14" ht="7.5" customHeight="1" x14ac:dyDescent="0.35"/>
    <row r="19" spans="3:14" ht="24.75" customHeight="1" x14ac:dyDescent="0.35">
      <c r="C19" s="136" t="s">
        <v>108</v>
      </c>
      <c r="D19" s="95"/>
      <c r="E19" s="95"/>
      <c r="F19" s="95"/>
      <c r="G19" s="95"/>
      <c r="H19" s="128"/>
    </row>
    <row r="20" spans="3:14" ht="24.75" customHeight="1" x14ac:dyDescent="0.35">
      <c r="C20" s="1" t="s">
        <v>3</v>
      </c>
      <c r="D20" s="1" t="s">
        <v>4</v>
      </c>
      <c r="E20" s="1" t="s">
        <v>5</v>
      </c>
      <c r="F20" s="1" t="s">
        <v>6</v>
      </c>
      <c r="G20" s="1" t="s">
        <v>7</v>
      </c>
      <c r="H20" s="1" t="s">
        <v>8</v>
      </c>
      <c r="I20" s="1" t="s">
        <v>9</v>
      </c>
      <c r="J20" s="1" t="s">
        <v>10</v>
      </c>
      <c r="K20" s="1" t="s">
        <v>11</v>
      </c>
      <c r="L20" s="1" t="s">
        <v>12</v>
      </c>
    </row>
    <row r="21" spans="3:14" ht="21.75" customHeight="1" x14ac:dyDescent="0.35">
      <c r="C21" s="19">
        <v>1</v>
      </c>
      <c r="D21" s="22" t="str">
        <f t="shared" ref="D21:L21" si="1">IFERROR(INDEX(D30:D33,MATCH(1,$N$30:$N$33,0)),"")</f>
        <v>Équipe 10</v>
      </c>
      <c r="E21" s="27">
        <f t="shared" si="1"/>
        <v>3</v>
      </c>
      <c r="F21" s="27">
        <f t="shared" si="1"/>
        <v>3</v>
      </c>
      <c r="G21" s="27">
        <f t="shared" si="1"/>
        <v>0</v>
      </c>
      <c r="H21" s="27">
        <f t="shared" si="1"/>
        <v>0</v>
      </c>
      <c r="I21" s="28">
        <f t="shared" si="1"/>
        <v>6</v>
      </c>
      <c r="J21" s="27">
        <f t="shared" si="1"/>
        <v>11</v>
      </c>
      <c r="K21" s="27">
        <f t="shared" si="1"/>
        <v>5</v>
      </c>
      <c r="L21" s="29">
        <f t="shared" si="1"/>
        <v>6</v>
      </c>
    </row>
    <row r="22" spans="3:14" ht="21.75" customHeight="1" x14ac:dyDescent="0.35">
      <c r="C22" s="21">
        <v>2</v>
      </c>
      <c r="D22" s="25" t="str">
        <f t="shared" ref="D22:L22" si="2">IFERROR(INDEX(D30:D33,MATCH(2,$N$30:$N$33,0)),"")</f>
        <v>Équipe 11</v>
      </c>
      <c r="E22" s="30">
        <f t="shared" si="2"/>
        <v>3</v>
      </c>
      <c r="F22" s="30">
        <f t="shared" si="2"/>
        <v>1</v>
      </c>
      <c r="G22" s="30">
        <f t="shared" si="2"/>
        <v>0</v>
      </c>
      <c r="H22" s="30">
        <f t="shared" si="2"/>
        <v>2</v>
      </c>
      <c r="I22" s="28">
        <f t="shared" si="2"/>
        <v>2</v>
      </c>
      <c r="J22" s="30">
        <f t="shared" si="2"/>
        <v>14</v>
      </c>
      <c r="K22" s="30">
        <f t="shared" si="2"/>
        <v>10</v>
      </c>
      <c r="L22" s="29">
        <f t="shared" si="2"/>
        <v>4</v>
      </c>
    </row>
    <row r="23" spans="3:14" ht="21.75" customHeight="1" x14ac:dyDescent="0.35">
      <c r="C23" s="19">
        <v>3</v>
      </c>
      <c r="D23" s="22" t="str">
        <f t="shared" ref="D23:L23" si="3">IFERROR(INDEX(D30:D33,MATCH(3,$N$30:$N$33,0)),"")</f>
        <v>Équipe 9</v>
      </c>
      <c r="E23" s="27">
        <f t="shared" si="3"/>
        <v>3</v>
      </c>
      <c r="F23" s="27">
        <f t="shared" si="3"/>
        <v>1</v>
      </c>
      <c r="G23" s="27">
        <f t="shared" si="3"/>
        <v>0</v>
      </c>
      <c r="H23" s="27">
        <f t="shared" si="3"/>
        <v>2</v>
      </c>
      <c r="I23" s="28">
        <f t="shared" si="3"/>
        <v>2</v>
      </c>
      <c r="J23" s="27">
        <f t="shared" si="3"/>
        <v>10</v>
      </c>
      <c r="K23" s="27">
        <f t="shared" si="3"/>
        <v>9</v>
      </c>
      <c r="L23" s="29">
        <f t="shared" si="3"/>
        <v>1</v>
      </c>
    </row>
    <row r="24" spans="3:14" ht="21.75" customHeight="1" x14ac:dyDescent="0.35">
      <c r="C24" s="21">
        <v>4</v>
      </c>
      <c r="D24" s="25" t="str">
        <f t="shared" ref="D24:L24" si="4">IFERROR(INDEX(D30:D33,MATCH(4,$N$30:$N$33,0)),"")</f>
        <v>Équipe 12</v>
      </c>
      <c r="E24" s="30">
        <f t="shared" si="4"/>
        <v>3</v>
      </c>
      <c r="F24" s="30">
        <f t="shared" si="4"/>
        <v>1</v>
      </c>
      <c r="G24" s="30">
        <f t="shared" si="4"/>
        <v>0</v>
      </c>
      <c r="H24" s="30">
        <f t="shared" si="4"/>
        <v>2</v>
      </c>
      <c r="I24" s="28">
        <f t="shared" si="4"/>
        <v>2</v>
      </c>
      <c r="J24" s="30">
        <f t="shared" si="4"/>
        <v>7</v>
      </c>
      <c r="K24" s="30">
        <f t="shared" si="4"/>
        <v>18</v>
      </c>
      <c r="L24" s="29">
        <f t="shared" si="4"/>
        <v>-11</v>
      </c>
    </row>
    <row r="26" spans="3:14" ht="30" customHeight="1" x14ac:dyDescent="0.35">
      <c r="C26" s="132" t="s">
        <v>109</v>
      </c>
      <c r="D26" s="92"/>
      <c r="E26" s="92"/>
      <c r="F26" s="92"/>
      <c r="G26" s="92"/>
      <c r="H26" s="92"/>
      <c r="I26" s="92"/>
      <c r="J26" s="92"/>
      <c r="K26" s="92"/>
      <c r="L26" s="92"/>
    </row>
    <row r="30" spans="3:14" hidden="1" x14ac:dyDescent="0.35">
      <c r="C30">
        <v>1</v>
      </c>
      <c r="D30" t="str">
        <f>C4</f>
        <v>Équipe 9</v>
      </c>
      <c r="E30">
        <f>3</f>
        <v>3</v>
      </c>
      <c r="F30">
        <f>IF(E11&gt;F11,1,0)+IF(E13&gt;F13,1,0)+IF(E15&gt;F15,1,0)</f>
        <v>1</v>
      </c>
      <c r="G30">
        <f>IF(E11=F11,1,0)+IF(E13=F13,1,0)+IF(E15=F15,1,0)</f>
        <v>0</v>
      </c>
      <c r="H30">
        <f>IF(E11&lt;F11,1,0)+IF(E13&lt;F13,1,0)+IF(E15&lt;F15,1,0)</f>
        <v>2</v>
      </c>
      <c r="I30">
        <f>2*(IF(E11&gt;F11,1,0)+IF(E13&gt;F13,1,0)+IF(E15&gt;F15,1,0))+(IF(E11=F11,1,0)+IF(E13=F13,1,0)+IF(E15=F15,1,0))</f>
        <v>2</v>
      </c>
      <c r="J30">
        <f>E11+E13+E15</f>
        <v>10</v>
      </c>
      <c r="K30">
        <f>F11+F13+F15</f>
        <v>9</v>
      </c>
      <c r="L30">
        <f>(E11+E13+E15)-(F11+F13+F15)</f>
        <v>1</v>
      </c>
      <c r="M30">
        <f>I30*1000+L30</f>
        <v>2001</v>
      </c>
      <c r="N30">
        <f>RANK(M30,$M$30:$M$33,0)+COUNTIF($M$30:M30,M30)-1</f>
        <v>3</v>
      </c>
    </row>
    <row r="31" spans="3:14" hidden="1" x14ac:dyDescent="0.35">
      <c r="C31">
        <v>2</v>
      </c>
      <c r="D31" t="str">
        <f>C5</f>
        <v>Équipe 10</v>
      </c>
      <c r="E31">
        <f>3</f>
        <v>3</v>
      </c>
      <c r="F31">
        <f>IF(F11&gt;E11,1,0)+IF(E14&gt;F14,1,0)+IF(E16&gt;F16,1,0)</f>
        <v>3</v>
      </c>
      <c r="G31">
        <f>IF(F11=E11,1,0)+IF(E14=F14,1,0)+IF(E16=F16,1,0)</f>
        <v>0</v>
      </c>
      <c r="H31">
        <f>IF(F11&lt;E11,1,0)+IF(E14&lt;F14,1,0)+IF(E16&lt;F16,1,0)</f>
        <v>0</v>
      </c>
      <c r="I31">
        <f>2*(IF(F11&gt;E11,1,0)+IF(E14&gt;F14,1,0)+IF(E16&gt;F16,1,0))+(IF(F11=E11,1,0)+IF(E14=F14,1,0)+IF(E16=F16,1,0))</f>
        <v>6</v>
      </c>
      <c r="J31">
        <f>F11+E14+E16</f>
        <v>11</v>
      </c>
      <c r="K31">
        <f>E11+F14+F16</f>
        <v>5</v>
      </c>
      <c r="L31">
        <f>(F11+E14+E16)-(E11+F14+F16)</f>
        <v>6</v>
      </c>
      <c r="M31">
        <f>I31*1000+L31</f>
        <v>6006</v>
      </c>
      <c r="N31">
        <f>RANK(M31,$M$30:$M$33,0)+COUNTIF($M$30:M31,M31)-1</f>
        <v>1</v>
      </c>
    </row>
    <row r="32" spans="3:14" hidden="1" x14ac:dyDescent="0.35">
      <c r="C32">
        <v>3</v>
      </c>
      <c r="D32" t="str">
        <f>C6</f>
        <v>Équipe 11</v>
      </c>
      <c r="E32">
        <f>3</f>
        <v>3</v>
      </c>
      <c r="F32">
        <f>IF(E12&gt;F12,1,0)+IF(F13&gt;E13,1,0)+IF(F16&gt;E16,1,0)</f>
        <v>1</v>
      </c>
      <c r="G32">
        <f>IF(E12=F12,1,0)+IF(F13=E13,1,0)+IF(F16=E16,1,0)</f>
        <v>0</v>
      </c>
      <c r="H32">
        <f>IF(E12&lt;F12,1,0)+IF(F13&lt;E13,1,0)+IF(F16&lt;E16,1,0)</f>
        <v>2</v>
      </c>
      <c r="I32">
        <f>2*(IF(E12&gt;F12,1,0)+IF(F13&gt;E13,1,0)+IF(F16&gt;E16,1,0))+(IF(E12=F12,1,0)+IF(F13=E13,1,0)+IF(F16=E16,1,0))</f>
        <v>2</v>
      </c>
      <c r="J32">
        <f>E12+F13+F16</f>
        <v>14</v>
      </c>
      <c r="K32">
        <f>F12+E13+E16</f>
        <v>10</v>
      </c>
      <c r="L32">
        <f>(E12+F13+F16)-(F12+E13+E16)</f>
        <v>4</v>
      </c>
      <c r="M32">
        <f>I32*1000+L32</f>
        <v>2004</v>
      </c>
      <c r="N32">
        <f>RANK(M32,$M$30:$M$33,0)+COUNTIF($M$30:M32,M32)-1</f>
        <v>2</v>
      </c>
    </row>
    <row r="33" spans="3:14" hidden="1" x14ac:dyDescent="0.35">
      <c r="C33">
        <v>4</v>
      </c>
      <c r="D33" t="str">
        <f>C7</f>
        <v>Équipe 12</v>
      </c>
      <c r="E33">
        <f>3</f>
        <v>3</v>
      </c>
      <c r="F33">
        <f>IF(F12&gt;E12,1,0)+IF(F14&gt;E14,1,0)+IF(F15&gt;E15,1,0)</f>
        <v>1</v>
      </c>
      <c r="G33">
        <f>IF(F12=E12,1,0)+IF(F14=E14,1,0)+IF(F15=E15,1,0)</f>
        <v>0</v>
      </c>
      <c r="H33">
        <f>IF(F12&lt;E12,1,0)+IF(F14&lt;E14,1,0)+IF(F15&lt;E15,1,0)</f>
        <v>2</v>
      </c>
      <c r="I33">
        <f>2*(IF(F12&gt;E12,1,0)+IF(F14&gt;E14,1,0)+IF(F15&gt;E15,1,0))+(IF(F12=E12,1,0)+IF(F14=E14,1,0)+IF(F15=E15,1,0))</f>
        <v>2</v>
      </c>
      <c r="J33">
        <f>F12+F14+F15</f>
        <v>7</v>
      </c>
      <c r="K33">
        <f>E12+E14+E15</f>
        <v>18</v>
      </c>
      <c r="L33">
        <f>(F12+F14+F15)-(E12+E14+E15)</f>
        <v>-11</v>
      </c>
      <c r="M33">
        <f>I33*1000+L33</f>
        <v>1989</v>
      </c>
      <c r="N33">
        <f>RANK(M33,$M$30:$M$33,0)+COUNTIF($M$30:M33,M33)-1</f>
        <v>4</v>
      </c>
    </row>
  </sheetData>
  <mergeCells count="8">
    <mergeCell ref="C26:L26"/>
    <mergeCell ref="C5:D5"/>
    <mergeCell ref="C3:D3"/>
    <mergeCell ref="C1:H1"/>
    <mergeCell ref="C4:D4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C1:N33"/>
  <sheetViews>
    <sheetView topLeftCell="A7" zoomScaleNormal="100" workbookViewId="0">
      <selection activeCell="F11" sqref="F11"/>
    </sheetView>
  </sheetViews>
  <sheetFormatPr baseColWidth="10" defaultColWidth="8.6328125" defaultRowHeight="14.5" x14ac:dyDescent="0.35"/>
  <cols>
    <col min="2" max="2" width="3" customWidth="1"/>
    <col min="3" max="3" width="8.90625" customWidth="1"/>
    <col min="4" max="4" width="22" customWidth="1"/>
    <col min="5" max="6" width="10.90625" customWidth="1"/>
    <col min="7" max="7" width="11.7265625" customWidth="1"/>
    <col min="8" max="8" width="14.453125" customWidth="1"/>
    <col min="9" max="11" width="5" customWidth="1"/>
    <col min="12" max="12" width="8" customWidth="1"/>
  </cols>
  <sheetData>
    <row r="1" spans="3:8" ht="34.5" customHeight="1" x14ac:dyDescent="0.35">
      <c r="C1" s="137" t="s">
        <v>112</v>
      </c>
      <c r="D1" s="95"/>
      <c r="E1" s="95"/>
      <c r="F1" s="95"/>
      <c r="G1" s="95"/>
      <c r="H1" s="95"/>
    </row>
    <row r="3" spans="3:8" ht="15" customHeight="1" x14ac:dyDescent="0.35">
      <c r="C3" s="102" t="s">
        <v>97</v>
      </c>
      <c r="D3" s="95"/>
      <c r="E3" s="31" t="s">
        <v>32</v>
      </c>
    </row>
    <row r="4" spans="3:8" ht="19.5" customHeight="1" x14ac:dyDescent="0.35">
      <c r="C4" s="130" t="str">
        <f>'📝 Équipes'!D15</f>
        <v>Équipe 13</v>
      </c>
      <c r="D4" s="95"/>
      <c r="E4" s="21">
        <v>13</v>
      </c>
    </row>
    <row r="5" spans="3:8" ht="19.5" customHeight="1" x14ac:dyDescent="0.35">
      <c r="C5" s="130" t="str">
        <f>'📝 Équipes'!D16</f>
        <v>Équipe 14</v>
      </c>
      <c r="D5" s="95"/>
      <c r="E5" s="21">
        <v>14</v>
      </c>
    </row>
    <row r="6" spans="3:8" ht="19.5" customHeight="1" x14ac:dyDescent="0.35">
      <c r="C6" s="130" t="str">
        <f>'📝 Équipes'!D17</f>
        <v>Équipe 15</v>
      </c>
      <c r="D6" s="95"/>
      <c r="E6" s="21">
        <v>15</v>
      </c>
    </row>
    <row r="7" spans="3:8" ht="19.5" customHeight="1" x14ac:dyDescent="0.35">
      <c r="C7" s="130" t="str">
        <f>'📝 Équipes'!D18</f>
        <v>Équipe 16</v>
      </c>
      <c r="D7" s="95"/>
      <c r="E7" s="21">
        <v>16</v>
      </c>
    </row>
    <row r="9" spans="3:8" ht="7.5" customHeight="1" x14ac:dyDescent="0.35"/>
    <row r="10" spans="3:8" ht="24.75" customHeight="1" x14ac:dyDescent="0.35">
      <c r="C10" s="31" t="s">
        <v>98</v>
      </c>
      <c r="D10" s="31" t="s">
        <v>36</v>
      </c>
      <c r="E10" s="31" t="s">
        <v>99</v>
      </c>
      <c r="F10" s="31" t="s">
        <v>100</v>
      </c>
      <c r="G10" s="31" t="s">
        <v>40</v>
      </c>
      <c r="H10" s="31" t="s">
        <v>101</v>
      </c>
    </row>
    <row r="11" spans="3:8" ht="21.75" customHeight="1" x14ac:dyDescent="0.35">
      <c r="C11" s="19" t="s">
        <v>102</v>
      </c>
      <c r="D11" s="22" t="str">
        <f>C4</f>
        <v>Équipe 13</v>
      </c>
      <c r="E11" s="23">
        <v>4</v>
      </c>
      <c r="F11" s="23">
        <v>0</v>
      </c>
      <c r="G11" s="22" t="str">
        <f>C5</f>
        <v>Équipe 14</v>
      </c>
      <c r="H11" s="24" t="str">
        <f t="shared" ref="H11:H16" si="0">IF(E11&gt;F11,D11&amp;" gagne",IF(E11&lt;F11,G11&amp;" gagne","Nul"))</f>
        <v>Équipe 13 gagne</v>
      </c>
    </row>
    <row r="12" spans="3:8" ht="21.75" customHeight="1" x14ac:dyDescent="0.35">
      <c r="C12" s="21" t="s">
        <v>103</v>
      </c>
      <c r="D12" s="25" t="str">
        <f>C6</f>
        <v>Équipe 15</v>
      </c>
      <c r="E12" s="23">
        <v>1</v>
      </c>
      <c r="F12" s="23">
        <v>2</v>
      </c>
      <c r="G12" s="25" t="str">
        <f>C7</f>
        <v>Équipe 16</v>
      </c>
      <c r="H12" s="26" t="str">
        <f t="shared" si="0"/>
        <v>Équipe 16 gagne</v>
      </c>
    </row>
    <row r="13" spans="3:8" ht="21.75" customHeight="1" x14ac:dyDescent="0.35">
      <c r="C13" s="19" t="s">
        <v>104</v>
      </c>
      <c r="D13" s="22" t="str">
        <f>C4</f>
        <v>Équipe 13</v>
      </c>
      <c r="E13" s="23">
        <v>1</v>
      </c>
      <c r="F13" s="23">
        <v>1</v>
      </c>
      <c r="G13" s="22" t="str">
        <f>C6</f>
        <v>Équipe 15</v>
      </c>
      <c r="H13" s="24" t="str">
        <f t="shared" si="0"/>
        <v>Nul</v>
      </c>
    </row>
    <row r="14" spans="3:8" ht="21.75" customHeight="1" x14ac:dyDescent="0.35">
      <c r="C14" s="21" t="s">
        <v>105</v>
      </c>
      <c r="D14" s="25" t="str">
        <f>C5</f>
        <v>Équipe 14</v>
      </c>
      <c r="E14" s="23">
        <v>3</v>
      </c>
      <c r="F14" s="23">
        <v>1</v>
      </c>
      <c r="G14" s="25" t="str">
        <f>C7</f>
        <v>Équipe 16</v>
      </c>
      <c r="H14" s="26" t="str">
        <f t="shared" si="0"/>
        <v>Équipe 14 gagne</v>
      </c>
    </row>
    <row r="15" spans="3:8" ht="21.75" customHeight="1" x14ac:dyDescent="0.35">
      <c r="C15" s="19" t="s">
        <v>106</v>
      </c>
      <c r="D15" s="22" t="str">
        <f>C4</f>
        <v>Équipe 13</v>
      </c>
      <c r="E15" s="23">
        <v>3</v>
      </c>
      <c r="F15" s="23">
        <v>3</v>
      </c>
      <c r="G15" s="22" t="str">
        <f>C7</f>
        <v>Équipe 16</v>
      </c>
      <c r="H15" s="24" t="str">
        <f t="shared" si="0"/>
        <v>Nul</v>
      </c>
    </row>
    <row r="16" spans="3:8" ht="21.75" customHeight="1" x14ac:dyDescent="0.35">
      <c r="C16" s="21" t="s">
        <v>107</v>
      </c>
      <c r="D16" s="25" t="str">
        <f>C5</f>
        <v>Équipe 14</v>
      </c>
      <c r="E16" s="23">
        <v>1</v>
      </c>
      <c r="F16" s="23">
        <v>1</v>
      </c>
      <c r="G16" s="25" t="str">
        <f>C6</f>
        <v>Équipe 15</v>
      </c>
      <c r="H16" s="26" t="str">
        <f t="shared" si="0"/>
        <v>Nul</v>
      </c>
    </row>
    <row r="18" spans="3:14" ht="7.5" customHeight="1" x14ac:dyDescent="0.35"/>
    <row r="19" spans="3:14" ht="24.75" customHeight="1" x14ac:dyDescent="0.35">
      <c r="C19" s="138" t="s">
        <v>108</v>
      </c>
      <c r="D19" s="95"/>
      <c r="E19" s="95"/>
      <c r="F19" s="95"/>
      <c r="G19" s="95"/>
      <c r="H19" s="128"/>
    </row>
    <row r="20" spans="3:14" ht="24.75" customHeight="1" x14ac:dyDescent="0.35">
      <c r="C20" s="31" t="s">
        <v>3</v>
      </c>
      <c r="D20" s="31" t="s">
        <v>4</v>
      </c>
      <c r="E20" s="31" t="s">
        <v>5</v>
      </c>
      <c r="F20" s="31" t="s">
        <v>6</v>
      </c>
      <c r="G20" s="31" t="s">
        <v>7</v>
      </c>
      <c r="H20" s="31" t="s">
        <v>8</v>
      </c>
      <c r="I20" s="31" t="s">
        <v>9</v>
      </c>
      <c r="J20" s="31" t="s">
        <v>10</v>
      </c>
      <c r="K20" s="31" t="s">
        <v>11</v>
      </c>
      <c r="L20" s="31" t="s">
        <v>12</v>
      </c>
    </row>
    <row r="21" spans="3:14" ht="21.75" customHeight="1" x14ac:dyDescent="0.35">
      <c r="C21" s="19">
        <v>1</v>
      </c>
      <c r="D21" s="22" t="str">
        <f t="shared" ref="D21:L21" si="1">IFERROR(INDEX(D30:D33,MATCH(1,$N$30:$N$33,0)),"")</f>
        <v>Équipe 13</v>
      </c>
      <c r="E21" s="27">
        <f t="shared" si="1"/>
        <v>3</v>
      </c>
      <c r="F21" s="27">
        <f t="shared" si="1"/>
        <v>1</v>
      </c>
      <c r="G21" s="27">
        <f t="shared" si="1"/>
        <v>2</v>
      </c>
      <c r="H21" s="27">
        <f t="shared" si="1"/>
        <v>0</v>
      </c>
      <c r="I21" s="28">
        <f t="shared" si="1"/>
        <v>4</v>
      </c>
      <c r="J21" s="27">
        <f t="shared" si="1"/>
        <v>8</v>
      </c>
      <c r="K21" s="27">
        <f t="shared" si="1"/>
        <v>4</v>
      </c>
      <c r="L21" s="29">
        <f t="shared" si="1"/>
        <v>4</v>
      </c>
    </row>
    <row r="22" spans="3:14" ht="21.75" customHeight="1" x14ac:dyDescent="0.35">
      <c r="C22" s="21">
        <v>2</v>
      </c>
      <c r="D22" s="25" t="str">
        <f t="shared" ref="D22:L22" si="2">IFERROR(INDEX(D30:D33,MATCH(2,$N$30:$N$33,0)),"")</f>
        <v>Équipe 16</v>
      </c>
      <c r="E22" s="30">
        <f t="shared" si="2"/>
        <v>3</v>
      </c>
      <c r="F22" s="30">
        <f t="shared" si="2"/>
        <v>1</v>
      </c>
      <c r="G22" s="30">
        <f t="shared" si="2"/>
        <v>1</v>
      </c>
      <c r="H22" s="30">
        <f t="shared" si="2"/>
        <v>1</v>
      </c>
      <c r="I22" s="28">
        <f t="shared" si="2"/>
        <v>3</v>
      </c>
      <c r="J22" s="30">
        <f t="shared" si="2"/>
        <v>6</v>
      </c>
      <c r="K22" s="30">
        <f t="shared" si="2"/>
        <v>7</v>
      </c>
      <c r="L22" s="29">
        <f t="shared" si="2"/>
        <v>-1</v>
      </c>
    </row>
    <row r="23" spans="3:14" ht="21.75" customHeight="1" x14ac:dyDescent="0.35">
      <c r="C23" s="19">
        <v>3</v>
      </c>
      <c r="D23" s="22" t="str">
        <f t="shared" ref="D23:L23" si="3">IFERROR(INDEX(D30:D33,MATCH(3,$N$30:$N$33,0)),"")</f>
        <v>Équipe 14</v>
      </c>
      <c r="E23" s="27">
        <f t="shared" si="3"/>
        <v>3</v>
      </c>
      <c r="F23" s="27">
        <f t="shared" si="3"/>
        <v>1</v>
      </c>
      <c r="G23" s="27">
        <f t="shared" si="3"/>
        <v>1</v>
      </c>
      <c r="H23" s="27">
        <f t="shared" si="3"/>
        <v>1</v>
      </c>
      <c r="I23" s="28">
        <f t="shared" si="3"/>
        <v>3</v>
      </c>
      <c r="J23" s="27">
        <f t="shared" si="3"/>
        <v>4</v>
      </c>
      <c r="K23" s="27">
        <f t="shared" si="3"/>
        <v>6</v>
      </c>
      <c r="L23" s="29">
        <f t="shared" si="3"/>
        <v>-2</v>
      </c>
    </row>
    <row r="24" spans="3:14" ht="21.75" customHeight="1" x14ac:dyDescent="0.35">
      <c r="C24" s="21">
        <v>4</v>
      </c>
      <c r="D24" s="25" t="str">
        <f t="shared" ref="D24:L24" si="4">IFERROR(INDEX(D30:D33,MATCH(4,$N$30:$N$33,0)),"")</f>
        <v>Équipe 15</v>
      </c>
      <c r="E24" s="30">
        <f t="shared" si="4"/>
        <v>3</v>
      </c>
      <c r="F24" s="30">
        <f t="shared" si="4"/>
        <v>0</v>
      </c>
      <c r="G24" s="30">
        <f t="shared" si="4"/>
        <v>2</v>
      </c>
      <c r="H24" s="30">
        <f t="shared" si="4"/>
        <v>1</v>
      </c>
      <c r="I24" s="28">
        <f t="shared" si="4"/>
        <v>2</v>
      </c>
      <c r="J24" s="30">
        <f t="shared" si="4"/>
        <v>3</v>
      </c>
      <c r="K24" s="30">
        <f t="shared" si="4"/>
        <v>4</v>
      </c>
      <c r="L24" s="29">
        <f t="shared" si="4"/>
        <v>-1</v>
      </c>
    </row>
    <row r="26" spans="3:14" ht="30" customHeight="1" x14ac:dyDescent="0.35">
      <c r="C26" s="132" t="s">
        <v>109</v>
      </c>
      <c r="D26" s="92"/>
      <c r="E26" s="92"/>
      <c r="F26" s="92"/>
      <c r="G26" s="92"/>
      <c r="H26" s="92"/>
      <c r="I26" s="92"/>
      <c r="J26" s="92"/>
      <c r="K26" s="92"/>
      <c r="L26" s="92"/>
    </row>
    <row r="30" spans="3:14" hidden="1" x14ac:dyDescent="0.35">
      <c r="C30">
        <v>1</v>
      </c>
      <c r="D30" t="str">
        <f>C4</f>
        <v>Équipe 13</v>
      </c>
      <c r="E30">
        <f>3</f>
        <v>3</v>
      </c>
      <c r="F30">
        <f>IF(E11&gt;F11,1,0)+IF(E13&gt;F13,1,0)+IF(E15&gt;F15,1,0)</f>
        <v>1</v>
      </c>
      <c r="G30">
        <f>IF(E11=F11,1,0)+IF(E13=F13,1,0)+IF(E15=F15,1,0)</f>
        <v>2</v>
      </c>
      <c r="H30">
        <f>IF(E11&lt;F11,1,0)+IF(E13&lt;F13,1,0)+IF(E15&lt;F15,1,0)</f>
        <v>0</v>
      </c>
      <c r="I30">
        <f>2*(IF(E11&gt;F11,1,0)+IF(E13&gt;F13,1,0)+IF(E15&gt;F15,1,0))+(IF(E11=F11,1,0)+IF(E13=F13,1,0)+IF(E15=F15,1,0))</f>
        <v>4</v>
      </c>
      <c r="J30">
        <f>E11+E13+E15</f>
        <v>8</v>
      </c>
      <c r="K30">
        <f>F11+F13+F15</f>
        <v>4</v>
      </c>
      <c r="L30">
        <f>(E11+E13+E15)-(F11+F13+F15)</f>
        <v>4</v>
      </c>
      <c r="M30">
        <f>I30*1000+L30</f>
        <v>4004</v>
      </c>
      <c r="N30">
        <f>RANK(M30,$M$30:$M$33,0)+COUNTIF($M$30:M30,M30)-1</f>
        <v>1</v>
      </c>
    </row>
    <row r="31" spans="3:14" hidden="1" x14ac:dyDescent="0.35">
      <c r="C31">
        <v>2</v>
      </c>
      <c r="D31" t="str">
        <f>C5</f>
        <v>Équipe 14</v>
      </c>
      <c r="E31">
        <f>3</f>
        <v>3</v>
      </c>
      <c r="F31">
        <f>IF(F11&gt;E11,1,0)+IF(E14&gt;F14,1,0)+IF(E16&gt;F16,1,0)</f>
        <v>1</v>
      </c>
      <c r="G31">
        <f>IF(F11=E11,1,0)+IF(E14=F14,1,0)+IF(E16=F16,1,0)</f>
        <v>1</v>
      </c>
      <c r="H31">
        <f>IF(F11&lt;E11,1,0)+IF(E14&lt;F14,1,0)+IF(E16&lt;F16,1,0)</f>
        <v>1</v>
      </c>
      <c r="I31">
        <f>2*(IF(F11&gt;E11,1,0)+IF(E14&gt;F14,1,0)+IF(E16&gt;F16,1,0))+(IF(F11=E11,1,0)+IF(E14=F14,1,0)+IF(E16=F16,1,0))</f>
        <v>3</v>
      </c>
      <c r="J31">
        <f>F11+E14+E16</f>
        <v>4</v>
      </c>
      <c r="K31">
        <f>E11+F14+F16</f>
        <v>6</v>
      </c>
      <c r="L31">
        <f>(F11+E14+E16)-(E11+F14+F16)</f>
        <v>-2</v>
      </c>
      <c r="M31">
        <f>I31*1000+L31</f>
        <v>2998</v>
      </c>
      <c r="N31">
        <f>RANK(M31,$M$30:$M$33,0)+COUNTIF($M$30:M31,M31)-1</f>
        <v>3</v>
      </c>
    </row>
    <row r="32" spans="3:14" hidden="1" x14ac:dyDescent="0.35">
      <c r="C32">
        <v>3</v>
      </c>
      <c r="D32" t="str">
        <f>C6</f>
        <v>Équipe 15</v>
      </c>
      <c r="E32">
        <f>3</f>
        <v>3</v>
      </c>
      <c r="F32">
        <f>IF(E12&gt;F12,1,0)+IF(F13&gt;E13,1,0)+IF(F16&gt;E16,1,0)</f>
        <v>0</v>
      </c>
      <c r="G32">
        <f>IF(E12=F12,1,0)+IF(F13=E13,1,0)+IF(F16=E16,1,0)</f>
        <v>2</v>
      </c>
      <c r="H32">
        <f>IF(E12&lt;F12,1,0)+IF(F13&lt;E13,1,0)+IF(F16&lt;E16,1,0)</f>
        <v>1</v>
      </c>
      <c r="I32">
        <f>2*(IF(E12&gt;F12,1,0)+IF(F13&gt;E13,1,0)+IF(F16&gt;E16,1,0))+(IF(E12=F12,1,0)+IF(F13=E13,1,0)+IF(F16=E16,1,0))</f>
        <v>2</v>
      </c>
      <c r="J32">
        <f>E12+F13+F16</f>
        <v>3</v>
      </c>
      <c r="K32">
        <f>F12+E13+E16</f>
        <v>4</v>
      </c>
      <c r="L32">
        <f>(E12+F13+F16)-(F12+E13+E16)</f>
        <v>-1</v>
      </c>
      <c r="M32">
        <f>I32*1000+L32</f>
        <v>1999</v>
      </c>
      <c r="N32">
        <f>RANK(M32,$M$30:$M$33,0)+COUNTIF($M$30:M32,M32)-1</f>
        <v>4</v>
      </c>
    </row>
    <row r="33" spans="3:14" hidden="1" x14ac:dyDescent="0.35">
      <c r="C33">
        <v>4</v>
      </c>
      <c r="D33" t="str">
        <f>C7</f>
        <v>Équipe 16</v>
      </c>
      <c r="E33">
        <f>3</f>
        <v>3</v>
      </c>
      <c r="F33">
        <f>IF(F12&gt;E12,1,0)+IF(F14&gt;E14,1,0)+IF(F15&gt;E15,1,0)</f>
        <v>1</v>
      </c>
      <c r="G33">
        <f>IF(F12=E12,1,0)+IF(F14=E14,1,0)+IF(F15=E15,1,0)</f>
        <v>1</v>
      </c>
      <c r="H33">
        <f>IF(F12&lt;E12,1,0)+IF(F14&lt;E14,1,0)+IF(F15&lt;E15,1,0)</f>
        <v>1</v>
      </c>
      <c r="I33">
        <f>2*(IF(F12&gt;E12,1,0)+IF(F14&gt;E14,1,0)+IF(F15&gt;E15,1,0))+(IF(F12=E12,1,0)+IF(F14=E14,1,0)+IF(F15=E15,1,0))</f>
        <v>3</v>
      </c>
      <c r="J33">
        <f>F12+F14+F15</f>
        <v>6</v>
      </c>
      <c r="K33">
        <f>E12+E14+E15</f>
        <v>7</v>
      </c>
      <c r="L33">
        <f>(F12+F14+F15)-(E12+E14+E15)</f>
        <v>-1</v>
      </c>
      <c r="M33">
        <f>I33*1000+L33</f>
        <v>2999</v>
      </c>
      <c r="N33">
        <f>RANK(M33,$M$30:$M$33,0)+COUNTIF($M$30:M33,M33)-1</f>
        <v>2</v>
      </c>
    </row>
  </sheetData>
  <mergeCells count="8">
    <mergeCell ref="C26:L26"/>
    <mergeCell ref="C5:D5"/>
    <mergeCell ref="C3:D3"/>
    <mergeCell ref="C1:H1"/>
    <mergeCell ref="C4:D4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C1:N33"/>
  <sheetViews>
    <sheetView topLeftCell="A14" zoomScale="79" zoomScaleNormal="100" workbookViewId="0">
      <selection activeCell="N14" sqref="N14"/>
    </sheetView>
  </sheetViews>
  <sheetFormatPr baseColWidth="10" defaultColWidth="8.6328125" defaultRowHeight="14.5" x14ac:dyDescent="0.35"/>
  <cols>
    <col min="2" max="2" width="3" customWidth="1"/>
    <col min="3" max="3" width="9.36328125" customWidth="1"/>
    <col min="4" max="4" width="22" customWidth="1"/>
    <col min="5" max="7" width="10.1796875" customWidth="1"/>
    <col min="8" max="8" width="15" customWidth="1"/>
    <col min="9" max="11" width="5" customWidth="1"/>
    <col min="12" max="12" width="8" customWidth="1"/>
  </cols>
  <sheetData>
    <row r="1" spans="3:8" ht="34.5" customHeight="1" x14ac:dyDescent="0.35">
      <c r="C1" s="139" t="s">
        <v>113</v>
      </c>
      <c r="D1" s="95"/>
      <c r="E1" s="95"/>
      <c r="F1" s="95"/>
      <c r="G1" s="95"/>
      <c r="H1" s="95"/>
    </row>
    <row r="3" spans="3:8" ht="15" customHeight="1" x14ac:dyDescent="0.35">
      <c r="C3" s="120" t="s">
        <v>97</v>
      </c>
      <c r="D3" s="95"/>
      <c r="E3" s="32" t="s">
        <v>32</v>
      </c>
    </row>
    <row r="4" spans="3:8" ht="19.5" customHeight="1" x14ac:dyDescent="0.35">
      <c r="C4" s="130" t="str">
        <f>'📝 Équipes'!D19</f>
        <v>Équipe 17</v>
      </c>
      <c r="D4" s="95"/>
      <c r="E4" s="21">
        <v>17</v>
      </c>
    </row>
    <row r="5" spans="3:8" ht="19.5" customHeight="1" x14ac:dyDescent="0.35">
      <c r="C5" s="130" t="str">
        <f>'📝 Équipes'!D20</f>
        <v>Équipe 18</v>
      </c>
      <c r="D5" s="95"/>
      <c r="E5" s="21">
        <v>18</v>
      </c>
    </row>
    <row r="6" spans="3:8" ht="19.5" customHeight="1" x14ac:dyDescent="0.35">
      <c r="C6" s="130" t="str">
        <f>'📝 Équipes'!D21</f>
        <v>Équipe 19</v>
      </c>
      <c r="D6" s="95"/>
      <c r="E6" s="21">
        <v>19</v>
      </c>
    </row>
    <row r="7" spans="3:8" ht="19.5" customHeight="1" x14ac:dyDescent="0.35">
      <c r="C7" s="130" t="str">
        <f>'📝 Équipes'!D22</f>
        <v>Équipe 20</v>
      </c>
      <c r="D7" s="95"/>
      <c r="E7" s="21">
        <v>20</v>
      </c>
    </row>
    <row r="9" spans="3:8" ht="7.5" customHeight="1" x14ac:dyDescent="0.35"/>
    <row r="10" spans="3:8" ht="24.75" customHeight="1" x14ac:dyDescent="0.35">
      <c r="C10" s="32" t="s">
        <v>98</v>
      </c>
      <c r="D10" s="32" t="s">
        <v>36</v>
      </c>
      <c r="E10" s="32" t="s">
        <v>99</v>
      </c>
      <c r="F10" s="32" t="s">
        <v>100</v>
      </c>
      <c r="G10" s="32" t="s">
        <v>40</v>
      </c>
      <c r="H10" s="32" t="s">
        <v>101</v>
      </c>
    </row>
    <row r="11" spans="3:8" ht="21.75" customHeight="1" x14ac:dyDescent="0.35">
      <c r="C11" s="19" t="s">
        <v>102</v>
      </c>
      <c r="D11" s="22" t="str">
        <f>C4</f>
        <v>Équipe 17</v>
      </c>
      <c r="E11" s="23">
        <v>3</v>
      </c>
      <c r="F11" s="23">
        <v>0</v>
      </c>
      <c r="G11" s="22" t="str">
        <f>C5</f>
        <v>Équipe 18</v>
      </c>
      <c r="H11" s="24" t="str">
        <f t="shared" ref="H11:H16" si="0">IF(E11&gt;F11,D11&amp;" gagne",IF(E11&lt;F11,G11&amp;" gagne","Nul"))</f>
        <v>Équipe 17 gagne</v>
      </c>
    </row>
    <row r="12" spans="3:8" ht="21.75" customHeight="1" x14ac:dyDescent="0.35">
      <c r="C12" s="21" t="s">
        <v>103</v>
      </c>
      <c r="D12" s="25" t="str">
        <f>C6</f>
        <v>Équipe 19</v>
      </c>
      <c r="E12" s="23">
        <v>12</v>
      </c>
      <c r="F12" s="23">
        <v>2</v>
      </c>
      <c r="G12" s="25" t="str">
        <f>C7</f>
        <v>Équipe 20</v>
      </c>
      <c r="H12" s="26" t="str">
        <f t="shared" si="0"/>
        <v>Équipe 19 gagne</v>
      </c>
    </row>
    <row r="13" spans="3:8" ht="21.75" customHeight="1" x14ac:dyDescent="0.35">
      <c r="C13" s="19" t="s">
        <v>104</v>
      </c>
      <c r="D13" s="22" t="str">
        <f>C4</f>
        <v>Équipe 17</v>
      </c>
      <c r="E13" s="23">
        <v>1</v>
      </c>
      <c r="F13" s="23">
        <v>1</v>
      </c>
      <c r="G13" s="22" t="str">
        <f>C6</f>
        <v>Équipe 19</v>
      </c>
      <c r="H13" s="24" t="str">
        <f t="shared" si="0"/>
        <v>Nul</v>
      </c>
    </row>
    <row r="14" spans="3:8" ht="21.75" customHeight="1" x14ac:dyDescent="0.35">
      <c r="C14" s="21" t="s">
        <v>105</v>
      </c>
      <c r="D14" s="25" t="str">
        <f>C5</f>
        <v>Équipe 18</v>
      </c>
      <c r="E14" s="23">
        <v>3</v>
      </c>
      <c r="F14" s="23">
        <v>1</v>
      </c>
      <c r="G14" s="25" t="str">
        <f>C7</f>
        <v>Équipe 20</v>
      </c>
      <c r="H14" s="26" t="str">
        <f t="shared" si="0"/>
        <v>Équipe 18 gagne</v>
      </c>
    </row>
    <row r="15" spans="3:8" ht="21.75" customHeight="1" x14ac:dyDescent="0.35">
      <c r="C15" s="19" t="s">
        <v>106</v>
      </c>
      <c r="D15" s="22" t="str">
        <f>C4</f>
        <v>Équipe 17</v>
      </c>
      <c r="E15" s="23">
        <v>3</v>
      </c>
      <c r="F15" s="23">
        <v>3</v>
      </c>
      <c r="G15" s="22" t="str">
        <f>C7</f>
        <v>Équipe 20</v>
      </c>
      <c r="H15" s="24" t="str">
        <f t="shared" si="0"/>
        <v>Nul</v>
      </c>
    </row>
    <row r="16" spans="3:8" ht="21.75" customHeight="1" x14ac:dyDescent="0.35">
      <c r="C16" s="21" t="s">
        <v>107</v>
      </c>
      <c r="D16" s="25" t="str">
        <f>C5</f>
        <v>Équipe 18</v>
      </c>
      <c r="E16" s="23">
        <v>1</v>
      </c>
      <c r="F16" s="23">
        <v>1</v>
      </c>
      <c r="G16" s="25" t="str">
        <f>C6</f>
        <v>Équipe 19</v>
      </c>
      <c r="H16" s="26" t="str">
        <f t="shared" si="0"/>
        <v>Nul</v>
      </c>
    </row>
    <row r="18" spans="3:14" ht="7.5" customHeight="1" x14ac:dyDescent="0.35"/>
    <row r="19" spans="3:14" ht="24.75" customHeight="1" x14ac:dyDescent="0.35">
      <c r="C19" s="140" t="s">
        <v>108</v>
      </c>
      <c r="D19" s="95"/>
      <c r="E19" s="95"/>
      <c r="F19" s="95"/>
      <c r="G19" s="95"/>
      <c r="H19" s="128"/>
    </row>
    <row r="20" spans="3:14" ht="24.75" customHeight="1" x14ac:dyDescent="0.35">
      <c r="C20" s="32" t="s">
        <v>3</v>
      </c>
      <c r="D20" s="32" t="s">
        <v>4</v>
      </c>
      <c r="E20" s="32" t="s">
        <v>5</v>
      </c>
      <c r="F20" s="32" t="s">
        <v>6</v>
      </c>
      <c r="G20" s="32" t="s">
        <v>7</v>
      </c>
      <c r="H20" s="32" t="s">
        <v>8</v>
      </c>
      <c r="I20" s="32" t="s">
        <v>9</v>
      </c>
      <c r="J20" s="32" t="s">
        <v>10</v>
      </c>
      <c r="K20" s="32" t="s">
        <v>11</v>
      </c>
      <c r="L20" s="32" t="s">
        <v>12</v>
      </c>
    </row>
    <row r="21" spans="3:14" ht="21.75" customHeight="1" x14ac:dyDescent="0.35">
      <c r="C21" s="19">
        <v>1</v>
      </c>
      <c r="D21" s="22" t="str">
        <f t="shared" ref="D21:L21" si="1">IFERROR(INDEX(D30:D33,MATCH(1,$N$30:$N$33,0)),"")</f>
        <v>Équipe 19</v>
      </c>
      <c r="E21" s="27">
        <f t="shared" si="1"/>
        <v>3</v>
      </c>
      <c r="F21" s="27">
        <f t="shared" si="1"/>
        <v>1</v>
      </c>
      <c r="G21" s="27">
        <f t="shared" si="1"/>
        <v>2</v>
      </c>
      <c r="H21" s="27">
        <f t="shared" si="1"/>
        <v>0</v>
      </c>
      <c r="I21" s="28">
        <f t="shared" si="1"/>
        <v>4</v>
      </c>
      <c r="J21" s="27">
        <f t="shared" si="1"/>
        <v>14</v>
      </c>
      <c r="K21" s="27">
        <f t="shared" si="1"/>
        <v>4</v>
      </c>
      <c r="L21" s="29">
        <f t="shared" si="1"/>
        <v>10</v>
      </c>
    </row>
    <row r="22" spans="3:14" ht="21.75" customHeight="1" x14ac:dyDescent="0.35">
      <c r="C22" s="21">
        <v>2</v>
      </c>
      <c r="D22" s="25" t="str">
        <f t="shared" ref="D22:L22" si="2">IFERROR(INDEX(D30:D33,MATCH(2,$N$30:$N$33,0)),"")</f>
        <v>Équipe 17</v>
      </c>
      <c r="E22" s="30">
        <f t="shared" si="2"/>
        <v>3</v>
      </c>
      <c r="F22" s="30">
        <f t="shared" si="2"/>
        <v>1</v>
      </c>
      <c r="G22" s="30">
        <f t="shared" si="2"/>
        <v>2</v>
      </c>
      <c r="H22" s="30">
        <f t="shared" si="2"/>
        <v>0</v>
      </c>
      <c r="I22" s="28">
        <f t="shared" si="2"/>
        <v>4</v>
      </c>
      <c r="J22" s="30">
        <f t="shared" si="2"/>
        <v>7</v>
      </c>
      <c r="K22" s="30">
        <f t="shared" si="2"/>
        <v>4</v>
      </c>
      <c r="L22" s="29">
        <f t="shared" si="2"/>
        <v>3</v>
      </c>
    </row>
    <row r="23" spans="3:14" ht="21.75" customHeight="1" x14ac:dyDescent="0.35">
      <c r="C23" s="19">
        <v>3</v>
      </c>
      <c r="D23" s="22" t="str">
        <f t="shared" ref="D23:L23" si="3">IFERROR(INDEX(D30:D33,MATCH(3,$N$30:$N$33,0)),"")</f>
        <v>Équipe 18</v>
      </c>
      <c r="E23" s="27">
        <f t="shared" si="3"/>
        <v>3</v>
      </c>
      <c r="F23" s="27">
        <f t="shared" si="3"/>
        <v>1</v>
      </c>
      <c r="G23" s="27">
        <f t="shared" si="3"/>
        <v>1</v>
      </c>
      <c r="H23" s="27">
        <f t="shared" si="3"/>
        <v>1</v>
      </c>
      <c r="I23" s="28">
        <f t="shared" si="3"/>
        <v>3</v>
      </c>
      <c r="J23" s="27">
        <f t="shared" si="3"/>
        <v>4</v>
      </c>
      <c r="K23" s="27">
        <f t="shared" si="3"/>
        <v>5</v>
      </c>
      <c r="L23" s="29">
        <f t="shared" si="3"/>
        <v>-1</v>
      </c>
    </row>
    <row r="24" spans="3:14" ht="21.75" customHeight="1" x14ac:dyDescent="0.35">
      <c r="C24" s="21">
        <v>4</v>
      </c>
      <c r="D24" s="25" t="str">
        <f t="shared" ref="D24:L24" si="4">IFERROR(INDEX(D30:D33,MATCH(4,$N$30:$N$33,0)),"")</f>
        <v>Équipe 20</v>
      </c>
      <c r="E24" s="30">
        <f t="shared" si="4"/>
        <v>3</v>
      </c>
      <c r="F24" s="30">
        <f t="shared" si="4"/>
        <v>0</v>
      </c>
      <c r="G24" s="30">
        <f t="shared" si="4"/>
        <v>1</v>
      </c>
      <c r="H24" s="30">
        <f t="shared" si="4"/>
        <v>2</v>
      </c>
      <c r="I24" s="28">
        <f t="shared" si="4"/>
        <v>1</v>
      </c>
      <c r="J24" s="30">
        <f t="shared" si="4"/>
        <v>6</v>
      </c>
      <c r="K24" s="30">
        <f t="shared" si="4"/>
        <v>18</v>
      </c>
      <c r="L24" s="29">
        <f t="shared" si="4"/>
        <v>-12</v>
      </c>
    </row>
    <row r="26" spans="3:14" ht="30" customHeight="1" x14ac:dyDescent="0.35">
      <c r="C26" s="132" t="s">
        <v>109</v>
      </c>
      <c r="D26" s="92"/>
      <c r="E26" s="92"/>
      <c r="F26" s="92"/>
      <c r="G26" s="92"/>
      <c r="H26" s="92"/>
      <c r="I26" s="92"/>
      <c r="J26" s="92"/>
      <c r="K26" s="92"/>
      <c r="L26" s="92"/>
    </row>
    <row r="30" spans="3:14" hidden="1" x14ac:dyDescent="0.35">
      <c r="C30">
        <v>1</v>
      </c>
      <c r="D30" t="str">
        <f>C4</f>
        <v>Équipe 17</v>
      </c>
      <c r="E30">
        <f>3</f>
        <v>3</v>
      </c>
      <c r="F30">
        <f>IF(E11&gt;F11,1,0)+IF(E13&gt;F13,1,0)+IF(E15&gt;F15,1,0)</f>
        <v>1</v>
      </c>
      <c r="G30">
        <f>IF(E11=F11,1,0)+IF(E13=F13,1,0)+IF(E15=F15,1,0)</f>
        <v>2</v>
      </c>
      <c r="H30">
        <f>IF(E11&lt;F11,1,0)+IF(E13&lt;F13,1,0)+IF(E15&lt;F15,1,0)</f>
        <v>0</v>
      </c>
      <c r="I30">
        <f>2*(IF(E11&gt;F11,1,0)+IF(E13&gt;F13,1,0)+IF(E15&gt;F15,1,0))+(IF(E11=F11,1,0)+IF(E13=F13,1,0)+IF(E15=F15,1,0))</f>
        <v>4</v>
      </c>
      <c r="J30">
        <f>E11+E13+E15</f>
        <v>7</v>
      </c>
      <c r="K30">
        <f>F11+F13+F15</f>
        <v>4</v>
      </c>
      <c r="L30">
        <f>(E11+E13+E15)-(F11+F13+F15)</f>
        <v>3</v>
      </c>
      <c r="M30">
        <f>I30*1000+L30</f>
        <v>4003</v>
      </c>
      <c r="N30">
        <f>RANK(M30,$M$30:$M$33,0)+COUNTIF($M$30:M30,M30)-1</f>
        <v>2</v>
      </c>
    </row>
    <row r="31" spans="3:14" hidden="1" x14ac:dyDescent="0.35">
      <c r="C31">
        <v>2</v>
      </c>
      <c r="D31" t="str">
        <f>C5</f>
        <v>Équipe 18</v>
      </c>
      <c r="E31">
        <f>3</f>
        <v>3</v>
      </c>
      <c r="F31">
        <f>IF(F11&gt;E11,1,0)+IF(E14&gt;F14,1,0)+IF(E16&gt;F16,1,0)</f>
        <v>1</v>
      </c>
      <c r="G31">
        <f>IF(F11=E11,1,0)+IF(E14=F14,1,0)+IF(E16=F16,1,0)</f>
        <v>1</v>
      </c>
      <c r="H31">
        <f>IF(F11&lt;E11,1,0)+IF(E14&lt;F14,1,0)+IF(E16&lt;F16,1,0)</f>
        <v>1</v>
      </c>
      <c r="I31">
        <f>2*(IF(F11&gt;E11,1,0)+IF(E14&gt;F14,1,0)+IF(E16&gt;F16,1,0))+(IF(F11=E11,1,0)+IF(E14=F14,1,0)+IF(E16=F16,1,0))</f>
        <v>3</v>
      </c>
      <c r="J31">
        <f>F11+E14+E16</f>
        <v>4</v>
      </c>
      <c r="K31">
        <f>E11+F14+F16</f>
        <v>5</v>
      </c>
      <c r="L31">
        <f>(F11+E14+E16)-(E11+F14+F16)</f>
        <v>-1</v>
      </c>
      <c r="M31">
        <f>I31*1000+L31</f>
        <v>2999</v>
      </c>
      <c r="N31">
        <f>RANK(M31,$M$30:$M$33,0)+COUNTIF($M$30:M31,M31)-1</f>
        <v>3</v>
      </c>
    </row>
    <row r="32" spans="3:14" hidden="1" x14ac:dyDescent="0.35">
      <c r="C32">
        <v>3</v>
      </c>
      <c r="D32" t="str">
        <f>C6</f>
        <v>Équipe 19</v>
      </c>
      <c r="E32">
        <f>3</f>
        <v>3</v>
      </c>
      <c r="F32">
        <f>IF(E12&gt;F12,1,0)+IF(F13&gt;E13,1,0)+IF(F16&gt;E16,1,0)</f>
        <v>1</v>
      </c>
      <c r="G32">
        <f>IF(E12=F12,1,0)+IF(F13=E13,1,0)+IF(F16=E16,1,0)</f>
        <v>2</v>
      </c>
      <c r="H32">
        <f>IF(E12&lt;F12,1,0)+IF(F13&lt;E13,1,0)+IF(F16&lt;E16,1,0)</f>
        <v>0</v>
      </c>
      <c r="I32">
        <f>2*(IF(E12&gt;F12,1,0)+IF(F13&gt;E13,1,0)+IF(F16&gt;E16,1,0))+(IF(E12=F12,1,0)+IF(F13=E13,1,0)+IF(F16=E16,1,0))</f>
        <v>4</v>
      </c>
      <c r="J32">
        <f>E12+F13+F16</f>
        <v>14</v>
      </c>
      <c r="K32">
        <f>F12+E13+E16</f>
        <v>4</v>
      </c>
      <c r="L32">
        <f>(E12+F13+F16)-(F12+E13+E16)</f>
        <v>10</v>
      </c>
      <c r="M32">
        <f>I32*1000+L32</f>
        <v>4010</v>
      </c>
      <c r="N32">
        <f>RANK(M32,$M$30:$M$33,0)+COUNTIF($M$30:M32,M32)-1</f>
        <v>1</v>
      </c>
    </row>
    <row r="33" spans="3:14" hidden="1" x14ac:dyDescent="0.35">
      <c r="C33">
        <v>4</v>
      </c>
      <c r="D33" t="str">
        <f>C7</f>
        <v>Équipe 20</v>
      </c>
      <c r="E33">
        <f>3</f>
        <v>3</v>
      </c>
      <c r="F33">
        <f>IF(F12&gt;E12,1,0)+IF(F14&gt;E14,1,0)+IF(F15&gt;E15,1,0)</f>
        <v>0</v>
      </c>
      <c r="G33">
        <f>IF(F12=E12,1,0)+IF(F14=E14,1,0)+IF(F15=E15,1,0)</f>
        <v>1</v>
      </c>
      <c r="H33">
        <f>IF(F12&lt;E12,1,0)+IF(F14&lt;E14,1,0)+IF(F15&lt;E15,1,0)</f>
        <v>2</v>
      </c>
      <c r="I33">
        <f>2*(IF(F12&gt;E12,1,0)+IF(F14&gt;E14,1,0)+IF(F15&gt;E15,1,0))+(IF(F12=E12,1,0)+IF(F14=E14,1,0)+IF(F15=E15,1,0))</f>
        <v>1</v>
      </c>
      <c r="J33">
        <f>F12+F14+F15</f>
        <v>6</v>
      </c>
      <c r="K33">
        <f>E12+E14+E15</f>
        <v>18</v>
      </c>
      <c r="L33">
        <f>(F12+F14+F15)-(E12+E14+E15)</f>
        <v>-12</v>
      </c>
      <c r="M33">
        <f>I33*1000+L33</f>
        <v>988</v>
      </c>
      <c r="N33">
        <f>RANK(M33,$M$30:$M$33,0)+COUNTIF($M$30:M33,M33)-1</f>
        <v>4</v>
      </c>
    </row>
  </sheetData>
  <mergeCells count="8">
    <mergeCell ref="C26:L26"/>
    <mergeCell ref="C5:D5"/>
    <mergeCell ref="C3:D3"/>
    <mergeCell ref="C1:H1"/>
    <mergeCell ref="C4:D4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AB130"/>
  <sheetViews>
    <sheetView tabSelected="1" topLeftCell="A54" zoomScale="98" zoomScaleNormal="100" workbookViewId="0">
      <selection activeCell="O57" sqref="O57"/>
    </sheetView>
  </sheetViews>
  <sheetFormatPr baseColWidth="10" defaultColWidth="8.6328125" defaultRowHeight="14.5" x14ac:dyDescent="0.35"/>
  <cols>
    <col min="2" max="2" width="3" customWidth="1"/>
    <col min="3" max="3" width="22" customWidth="1"/>
    <col min="4" max="4" width="9.1796875" customWidth="1"/>
    <col min="5" max="11" width="5" customWidth="1"/>
    <col min="12" max="12" width="8" customWidth="1"/>
    <col min="22" max="22" width="5" customWidth="1"/>
    <col min="23" max="23" width="20" customWidth="1"/>
    <col min="24" max="24" width="9" customWidth="1"/>
    <col min="25" max="28" width="5" customWidth="1"/>
  </cols>
  <sheetData>
    <row r="1" spans="3:14" ht="34.5" customHeight="1" x14ac:dyDescent="0.35">
      <c r="C1" s="98" t="s">
        <v>0</v>
      </c>
      <c r="D1" s="95"/>
      <c r="E1" s="95"/>
      <c r="F1" s="95"/>
      <c r="G1" s="95"/>
      <c r="H1" s="95"/>
      <c r="I1" s="95"/>
      <c r="J1" s="95"/>
      <c r="K1" s="95"/>
      <c r="L1" s="95"/>
    </row>
    <row r="2" spans="3:14" ht="34.5" customHeight="1" x14ac:dyDescent="0.35">
      <c r="C2" s="91" t="s">
        <v>1</v>
      </c>
      <c r="D2" s="92"/>
      <c r="E2" s="92"/>
      <c r="F2" s="92"/>
      <c r="G2" s="92"/>
      <c r="H2" s="92"/>
      <c r="I2" s="92"/>
      <c r="J2" s="92"/>
      <c r="K2" s="92"/>
      <c r="L2" s="92"/>
    </row>
    <row r="4" spans="3:14" ht="24.75" customHeight="1" x14ac:dyDescent="0.35">
      <c r="C4" s="112" t="s">
        <v>2</v>
      </c>
      <c r="D4" s="95"/>
      <c r="E4" s="95"/>
      <c r="F4" s="95"/>
      <c r="G4" s="95"/>
      <c r="H4" s="95"/>
      <c r="I4" s="95"/>
      <c r="J4" s="95"/>
      <c r="K4" s="95"/>
      <c r="L4" s="95"/>
    </row>
    <row r="5" spans="3:14" ht="21.75" customHeight="1" x14ac:dyDescent="0.35"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</row>
    <row r="6" spans="3:14" ht="19.5" customHeight="1" x14ac:dyDescent="0.35">
      <c r="C6" s="27">
        <f>'Phase 1 - Poule A'!C21</f>
        <v>1</v>
      </c>
      <c r="D6" s="22" t="str">
        <f>'Phase 1 - Poule A'!D21</f>
        <v>Équipe 1</v>
      </c>
      <c r="E6" s="27">
        <f>'Phase 1 - Poule A'!E21</f>
        <v>3</v>
      </c>
      <c r="F6" s="27">
        <f>'Phase 1 - Poule A'!F21</f>
        <v>2</v>
      </c>
      <c r="G6" s="27">
        <f>'Phase 1 - Poule A'!G21</f>
        <v>0</v>
      </c>
      <c r="H6" s="27">
        <f>'Phase 1 - Poule A'!H21</f>
        <v>1</v>
      </c>
      <c r="I6" s="33">
        <f>'Phase 1 - Poule A'!I21</f>
        <v>4</v>
      </c>
      <c r="J6" s="27">
        <f>'Phase 1 - Poule A'!J21</f>
        <v>8</v>
      </c>
      <c r="K6" s="27">
        <f>'Phase 1 - Poule A'!K21</f>
        <v>6</v>
      </c>
      <c r="L6" s="34">
        <f>'Phase 1 - Poule A'!L21</f>
        <v>2</v>
      </c>
      <c r="M6" s="46">
        <f>I6*1000+L6</f>
        <v>4002</v>
      </c>
      <c r="N6" s="46">
        <f>RANK(M6,M6:M9,0)+COUNTIF($M$6:M6,M6)-1</f>
        <v>1</v>
      </c>
    </row>
    <row r="7" spans="3:14" ht="19.5" customHeight="1" x14ac:dyDescent="0.35">
      <c r="C7" s="30">
        <f>'Phase 1 - Poule A'!C22</f>
        <v>2</v>
      </c>
      <c r="D7" s="25" t="str">
        <f>'Phase 1 - Poule A'!D22</f>
        <v>Équipe 2</v>
      </c>
      <c r="E7" s="30">
        <f>'Phase 1 - Poule A'!E22</f>
        <v>3</v>
      </c>
      <c r="F7" s="30">
        <f>'Phase 1 - Poule A'!F22</f>
        <v>2</v>
      </c>
      <c r="G7" s="30">
        <f>'Phase 1 - Poule A'!G22</f>
        <v>0</v>
      </c>
      <c r="H7" s="30">
        <f>'Phase 1 - Poule A'!H22</f>
        <v>1</v>
      </c>
      <c r="I7" s="33">
        <f>'Phase 1 - Poule A'!I22</f>
        <v>4</v>
      </c>
      <c r="J7" s="30">
        <f>'Phase 1 - Poule A'!J22</f>
        <v>5</v>
      </c>
      <c r="K7" s="30">
        <f>'Phase 1 - Poule A'!K22</f>
        <v>4</v>
      </c>
      <c r="L7" s="34">
        <f>'Phase 1 - Poule A'!L22</f>
        <v>1</v>
      </c>
      <c r="M7" s="46">
        <f>I7*1000+L7</f>
        <v>4001</v>
      </c>
      <c r="N7" s="46">
        <f>RANK(M7,M6:M9,0)+COUNTIF($M$6:M7,M7)-1</f>
        <v>2</v>
      </c>
    </row>
    <row r="8" spans="3:14" ht="19.5" customHeight="1" x14ac:dyDescent="0.35">
      <c r="C8" s="27">
        <f>'Phase 1 - Poule A'!C23</f>
        <v>3</v>
      </c>
      <c r="D8" s="22" t="str">
        <f>'Phase 1 - Poule A'!D23</f>
        <v>Équipe 3</v>
      </c>
      <c r="E8" s="27">
        <f>'Phase 1 - Poule A'!E23</f>
        <v>3</v>
      </c>
      <c r="F8" s="27">
        <f>'Phase 1 - Poule A'!F23</f>
        <v>1</v>
      </c>
      <c r="G8" s="27">
        <f>'Phase 1 - Poule A'!G23</f>
        <v>1</v>
      </c>
      <c r="H8" s="27">
        <f>'Phase 1 - Poule A'!H23</f>
        <v>1</v>
      </c>
      <c r="I8" s="33">
        <f>'Phase 1 - Poule A'!I23</f>
        <v>3</v>
      </c>
      <c r="J8" s="27">
        <f>'Phase 1 - Poule A'!J23</f>
        <v>2</v>
      </c>
      <c r="K8" s="27">
        <f>'Phase 1 - Poule A'!K23</f>
        <v>2</v>
      </c>
      <c r="L8" s="34">
        <f>'Phase 1 - Poule A'!L23</f>
        <v>0</v>
      </c>
      <c r="M8" s="46">
        <f>I8*1000+L8</f>
        <v>3000</v>
      </c>
      <c r="N8" s="46">
        <f>RANK(M8,M6:M9,0)+COUNTIF($M$6:M8,M8)-1</f>
        <v>3</v>
      </c>
    </row>
    <row r="9" spans="3:14" ht="19.5" customHeight="1" x14ac:dyDescent="0.35">
      <c r="C9" s="30">
        <f>'Phase 1 - Poule A'!C24</f>
        <v>4</v>
      </c>
      <c r="D9" s="25" t="str">
        <f>'Phase 1 - Poule A'!D24</f>
        <v>Équipe 4</v>
      </c>
      <c r="E9" s="30">
        <f>'Phase 1 - Poule A'!E24</f>
        <v>3</v>
      </c>
      <c r="F9" s="30">
        <f>'Phase 1 - Poule A'!F24</f>
        <v>0</v>
      </c>
      <c r="G9" s="30">
        <f>'Phase 1 - Poule A'!G24</f>
        <v>1</v>
      </c>
      <c r="H9" s="30">
        <f>'Phase 1 - Poule A'!H24</f>
        <v>2</v>
      </c>
      <c r="I9" s="33">
        <f>'Phase 1 - Poule A'!I24</f>
        <v>1</v>
      </c>
      <c r="J9" s="30">
        <f>'Phase 1 - Poule A'!J24</f>
        <v>3</v>
      </c>
      <c r="K9" s="30">
        <f>'Phase 1 - Poule A'!K24</f>
        <v>6</v>
      </c>
      <c r="L9" s="34">
        <f>'Phase 1 - Poule A'!L24</f>
        <v>-3</v>
      </c>
      <c r="M9" s="46">
        <f>I9*1000+L9</f>
        <v>997</v>
      </c>
      <c r="N9" s="46">
        <f>RANK(M9,M6:M9,0)+COUNTIF($M$6:M9,M9)-1</f>
        <v>4</v>
      </c>
    </row>
    <row r="11" spans="3:14" ht="24.75" customHeight="1" x14ac:dyDescent="0.35">
      <c r="C11" s="94" t="s">
        <v>13</v>
      </c>
      <c r="D11" s="95"/>
      <c r="E11" s="95"/>
      <c r="F11" s="95"/>
      <c r="G11" s="95"/>
      <c r="H11" s="95"/>
      <c r="I11" s="95"/>
      <c r="J11" s="95"/>
      <c r="K11" s="95"/>
      <c r="L11" s="95"/>
    </row>
    <row r="12" spans="3:14" ht="21.75" customHeight="1" x14ac:dyDescent="0.35">
      <c r="C12" s="2" t="s">
        <v>3</v>
      </c>
      <c r="D12" s="2" t="s">
        <v>4</v>
      </c>
      <c r="E12" s="2" t="s">
        <v>5</v>
      </c>
      <c r="F12" s="2" t="s">
        <v>6</v>
      </c>
      <c r="G12" s="2" t="s">
        <v>7</v>
      </c>
      <c r="H12" s="2" t="s">
        <v>8</v>
      </c>
      <c r="I12" s="2" t="s">
        <v>9</v>
      </c>
      <c r="J12" s="2" t="s">
        <v>10</v>
      </c>
      <c r="K12" s="2" t="s">
        <v>11</v>
      </c>
      <c r="L12" s="2" t="s">
        <v>12</v>
      </c>
    </row>
    <row r="13" spans="3:14" ht="19.5" customHeight="1" x14ac:dyDescent="0.35">
      <c r="C13" s="27">
        <f>'Phase 1 - Poule B'!C21</f>
        <v>1</v>
      </c>
      <c r="D13" s="22" t="str">
        <f>'Phase 1 - Poule B'!D21</f>
        <v>Équipe 5</v>
      </c>
      <c r="E13" s="27">
        <f>'Phase 1 - Poule B'!E21</f>
        <v>3</v>
      </c>
      <c r="F13" s="27">
        <f>'Phase 1 - Poule B'!F21</f>
        <v>0</v>
      </c>
      <c r="G13" s="27">
        <f>'Phase 1 - Poule B'!G21</f>
        <v>3</v>
      </c>
      <c r="H13" s="27">
        <f>'Phase 1 - Poule B'!H21</f>
        <v>0</v>
      </c>
      <c r="I13" s="33">
        <f>'Phase 1 - Poule B'!I21</f>
        <v>3</v>
      </c>
      <c r="J13" s="27">
        <f>'Phase 1 - Poule B'!J21</f>
        <v>2</v>
      </c>
      <c r="K13" s="27">
        <f>'Phase 1 - Poule B'!K21</f>
        <v>2</v>
      </c>
      <c r="L13" s="34">
        <f>'Phase 1 - Poule B'!L21</f>
        <v>0</v>
      </c>
      <c r="M13" s="46">
        <f>I13*1000+L13</f>
        <v>3000</v>
      </c>
      <c r="N13" s="46">
        <f>RANK(M13,M13:M16,0)+COUNTIF($M$13:M13,M13)-1</f>
        <v>1</v>
      </c>
    </row>
    <row r="14" spans="3:14" ht="19.5" customHeight="1" x14ac:dyDescent="0.35">
      <c r="C14" s="30">
        <f>'Phase 1 - Poule B'!C22</f>
        <v>2</v>
      </c>
      <c r="D14" s="25" t="str">
        <f>'Phase 1 - Poule B'!D22</f>
        <v>Équipe 6</v>
      </c>
      <c r="E14" s="30">
        <f>'Phase 1 - Poule B'!E22</f>
        <v>3</v>
      </c>
      <c r="F14" s="30">
        <f>'Phase 1 - Poule B'!F22</f>
        <v>0</v>
      </c>
      <c r="G14" s="30">
        <f>'Phase 1 - Poule B'!G22</f>
        <v>3</v>
      </c>
      <c r="H14" s="30">
        <f>'Phase 1 - Poule B'!H22</f>
        <v>0</v>
      </c>
      <c r="I14" s="33">
        <f>'Phase 1 - Poule B'!I22</f>
        <v>3</v>
      </c>
      <c r="J14" s="30">
        <f>'Phase 1 - Poule B'!J22</f>
        <v>1</v>
      </c>
      <c r="K14" s="30">
        <f>'Phase 1 - Poule B'!K22</f>
        <v>1</v>
      </c>
      <c r="L14" s="34">
        <f>'Phase 1 - Poule B'!L22</f>
        <v>0</v>
      </c>
      <c r="M14" s="46">
        <f>I14*1000+L14</f>
        <v>3000</v>
      </c>
      <c r="N14" s="46">
        <f>RANK(M14,M13:M16,0)+COUNTIF($M$13:M14,M14)-1</f>
        <v>2</v>
      </c>
    </row>
    <row r="15" spans="3:14" ht="19.5" customHeight="1" x14ac:dyDescent="0.35">
      <c r="C15" s="27">
        <f>'Phase 1 - Poule B'!C23</f>
        <v>3</v>
      </c>
      <c r="D15" s="22" t="str">
        <f>'Phase 1 - Poule B'!D23</f>
        <v>Équipe 7</v>
      </c>
      <c r="E15" s="27">
        <f>'Phase 1 - Poule B'!E23</f>
        <v>3</v>
      </c>
      <c r="F15" s="27">
        <f>'Phase 1 - Poule B'!F23</f>
        <v>0</v>
      </c>
      <c r="G15" s="27">
        <f>'Phase 1 - Poule B'!G23</f>
        <v>3</v>
      </c>
      <c r="H15" s="27">
        <f>'Phase 1 - Poule B'!H23</f>
        <v>0</v>
      </c>
      <c r="I15" s="33">
        <f>'Phase 1 - Poule B'!I23</f>
        <v>3</v>
      </c>
      <c r="J15" s="27">
        <f>'Phase 1 - Poule B'!J23</f>
        <v>1</v>
      </c>
      <c r="K15" s="27">
        <f>'Phase 1 - Poule B'!K23</f>
        <v>1</v>
      </c>
      <c r="L15" s="34">
        <f>'Phase 1 - Poule B'!L23</f>
        <v>0</v>
      </c>
      <c r="M15" s="46">
        <f>I15*1000+L15</f>
        <v>3000</v>
      </c>
      <c r="N15" s="46">
        <f>RANK(M15,M13:M16,0)+COUNTIF($M$13:M15,M15)-1</f>
        <v>3</v>
      </c>
    </row>
    <row r="16" spans="3:14" ht="19.5" customHeight="1" x14ac:dyDescent="0.35">
      <c r="C16" s="30">
        <f>'Phase 1 - Poule B'!C24</f>
        <v>4</v>
      </c>
      <c r="D16" s="25" t="str">
        <f>'Phase 1 - Poule B'!D24</f>
        <v>Équipe 8</v>
      </c>
      <c r="E16" s="30">
        <f>'Phase 1 - Poule B'!E24</f>
        <v>3</v>
      </c>
      <c r="F16" s="30">
        <f>'Phase 1 - Poule B'!F24</f>
        <v>0</v>
      </c>
      <c r="G16" s="30">
        <f>'Phase 1 - Poule B'!G24</f>
        <v>3</v>
      </c>
      <c r="H16" s="30">
        <f>'Phase 1 - Poule B'!H24</f>
        <v>0</v>
      </c>
      <c r="I16" s="33">
        <f>'Phase 1 - Poule B'!I24</f>
        <v>3</v>
      </c>
      <c r="J16" s="30">
        <f>'Phase 1 - Poule B'!J24</f>
        <v>0</v>
      </c>
      <c r="K16" s="30">
        <f>'Phase 1 - Poule B'!K24</f>
        <v>0</v>
      </c>
      <c r="L16" s="34">
        <f>'Phase 1 - Poule B'!L24</f>
        <v>0</v>
      </c>
      <c r="M16" s="46">
        <f>I16*1000+L16</f>
        <v>3000</v>
      </c>
      <c r="N16" s="46">
        <f>RANK(M16,M13:M16,0)+COUNTIF($M$13:M16,M16)-1</f>
        <v>4</v>
      </c>
    </row>
    <row r="18" spans="3:14" ht="24.75" customHeight="1" x14ac:dyDescent="0.35">
      <c r="C18" s="122" t="s">
        <v>14</v>
      </c>
      <c r="D18" s="95"/>
      <c r="E18" s="95"/>
      <c r="F18" s="95"/>
      <c r="G18" s="95"/>
      <c r="H18" s="95"/>
      <c r="I18" s="95"/>
      <c r="J18" s="95"/>
      <c r="K18" s="95"/>
      <c r="L18" s="95"/>
    </row>
    <row r="19" spans="3:14" ht="21.75" customHeight="1" x14ac:dyDescent="0.35">
      <c r="C19" s="1" t="s">
        <v>3</v>
      </c>
      <c r="D19" s="1" t="s">
        <v>4</v>
      </c>
      <c r="E19" s="1" t="s">
        <v>5</v>
      </c>
      <c r="F19" s="1" t="s">
        <v>6</v>
      </c>
      <c r="G19" s="1" t="s">
        <v>7</v>
      </c>
      <c r="H19" s="1" t="s">
        <v>8</v>
      </c>
      <c r="I19" s="1" t="s">
        <v>9</v>
      </c>
      <c r="J19" s="1" t="s">
        <v>10</v>
      </c>
      <c r="K19" s="1" t="s">
        <v>11</v>
      </c>
      <c r="L19" s="1" t="s">
        <v>12</v>
      </c>
    </row>
    <row r="20" spans="3:14" ht="19.5" customHeight="1" x14ac:dyDescent="0.35">
      <c r="C20" s="27">
        <f>'Phase 1 - Poule C'!C21</f>
        <v>1</v>
      </c>
      <c r="D20" s="22" t="str">
        <f>'Phase 1 - Poule C'!D21</f>
        <v>Équipe 10</v>
      </c>
      <c r="E20" s="27">
        <f>'Phase 1 - Poule C'!E21</f>
        <v>3</v>
      </c>
      <c r="F20" s="27">
        <f>'Phase 1 - Poule C'!F21</f>
        <v>3</v>
      </c>
      <c r="G20" s="27">
        <f>'Phase 1 - Poule C'!G21</f>
        <v>0</v>
      </c>
      <c r="H20" s="27">
        <f>'Phase 1 - Poule C'!H21</f>
        <v>0</v>
      </c>
      <c r="I20" s="33">
        <f>'Phase 1 - Poule C'!I21</f>
        <v>6</v>
      </c>
      <c r="J20" s="27">
        <f>'Phase 1 - Poule C'!J21</f>
        <v>11</v>
      </c>
      <c r="K20" s="27">
        <f>'Phase 1 - Poule C'!K21</f>
        <v>5</v>
      </c>
      <c r="L20" s="34">
        <f>'Phase 1 - Poule C'!L21</f>
        <v>6</v>
      </c>
      <c r="M20" s="46">
        <f>I20*1000+L20</f>
        <v>6006</v>
      </c>
      <c r="N20" s="46">
        <f>RANK(M20,M20:M23,0)+COUNTIF($M$20:M20,M20)-1</f>
        <v>1</v>
      </c>
    </row>
    <row r="21" spans="3:14" ht="19.5" customHeight="1" x14ac:dyDescent="0.35">
      <c r="C21" s="30">
        <f>'Phase 1 - Poule C'!C22</f>
        <v>2</v>
      </c>
      <c r="D21" s="25" t="str">
        <f>'Phase 1 - Poule C'!D22</f>
        <v>Équipe 11</v>
      </c>
      <c r="E21" s="30">
        <f>'Phase 1 - Poule C'!E22</f>
        <v>3</v>
      </c>
      <c r="F21" s="30">
        <f>'Phase 1 - Poule C'!F22</f>
        <v>1</v>
      </c>
      <c r="G21" s="30">
        <f>'Phase 1 - Poule C'!G22</f>
        <v>0</v>
      </c>
      <c r="H21" s="30">
        <f>'Phase 1 - Poule C'!H22</f>
        <v>2</v>
      </c>
      <c r="I21" s="33">
        <f>'Phase 1 - Poule C'!I22</f>
        <v>2</v>
      </c>
      <c r="J21" s="30">
        <f>'Phase 1 - Poule C'!J22</f>
        <v>14</v>
      </c>
      <c r="K21" s="30">
        <f>'Phase 1 - Poule C'!K22</f>
        <v>10</v>
      </c>
      <c r="L21" s="34">
        <f>'Phase 1 - Poule C'!L22</f>
        <v>4</v>
      </c>
      <c r="M21" s="46">
        <f>I21*1000+L21</f>
        <v>2004</v>
      </c>
      <c r="N21" s="46">
        <f>RANK(M21,M20:M23,0)+COUNTIF($M$20:M21,M21)-1</f>
        <v>2</v>
      </c>
    </row>
    <row r="22" spans="3:14" ht="19.5" customHeight="1" x14ac:dyDescent="0.35">
      <c r="C22" s="27">
        <f>'Phase 1 - Poule C'!C23</f>
        <v>3</v>
      </c>
      <c r="D22" s="22" t="str">
        <f>'Phase 1 - Poule C'!D23</f>
        <v>Équipe 9</v>
      </c>
      <c r="E22" s="27">
        <f>'Phase 1 - Poule C'!E23</f>
        <v>3</v>
      </c>
      <c r="F22" s="27">
        <f>'Phase 1 - Poule C'!F23</f>
        <v>1</v>
      </c>
      <c r="G22" s="27">
        <f>'Phase 1 - Poule C'!G23</f>
        <v>0</v>
      </c>
      <c r="H22" s="27">
        <f>'Phase 1 - Poule C'!H23</f>
        <v>2</v>
      </c>
      <c r="I22" s="33">
        <f>'Phase 1 - Poule C'!I23</f>
        <v>2</v>
      </c>
      <c r="J22" s="27">
        <f>'Phase 1 - Poule C'!J23</f>
        <v>10</v>
      </c>
      <c r="K22" s="27">
        <f>'Phase 1 - Poule C'!K23</f>
        <v>9</v>
      </c>
      <c r="L22" s="34">
        <f>'Phase 1 - Poule C'!L23</f>
        <v>1</v>
      </c>
      <c r="M22" s="46">
        <f>I22*1000+L22</f>
        <v>2001</v>
      </c>
      <c r="N22" s="46">
        <f>RANK(M22,M20:M23,0)+COUNTIF($M$20:M22,M22)-1</f>
        <v>3</v>
      </c>
    </row>
    <row r="23" spans="3:14" ht="19.5" customHeight="1" x14ac:dyDescent="0.35">
      <c r="C23" s="30">
        <f>'Phase 1 - Poule C'!C24</f>
        <v>4</v>
      </c>
      <c r="D23" s="25" t="str">
        <f>'Phase 1 - Poule C'!D24</f>
        <v>Équipe 12</v>
      </c>
      <c r="E23" s="30">
        <f>'Phase 1 - Poule C'!E24</f>
        <v>3</v>
      </c>
      <c r="F23" s="30">
        <f>'Phase 1 - Poule C'!F24</f>
        <v>1</v>
      </c>
      <c r="G23" s="30">
        <f>'Phase 1 - Poule C'!G24</f>
        <v>0</v>
      </c>
      <c r="H23" s="30">
        <f>'Phase 1 - Poule C'!H24</f>
        <v>2</v>
      </c>
      <c r="I23" s="33">
        <f>'Phase 1 - Poule C'!I24</f>
        <v>2</v>
      </c>
      <c r="J23" s="30">
        <f>'Phase 1 - Poule C'!J24</f>
        <v>7</v>
      </c>
      <c r="K23" s="30">
        <f>'Phase 1 - Poule C'!K24</f>
        <v>18</v>
      </c>
      <c r="L23" s="34">
        <f>'Phase 1 - Poule C'!L24</f>
        <v>-11</v>
      </c>
      <c r="M23" s="46">
        <f>I23*1000+L23</f>
        <v>1989</v>
      </c>
      <c r="N23" s="46">
        <f>RANK(M23,M20:M23,0)+COUNTIF($M$20:M23,M23)-1</f>
        <v>4</v>
      </c>
    </row>
    <row r="25" spans="3:14" ht="24.75" customHeight="1" x14ac:dyDescent="0.35">
      <c r="C25" s="102" t="s">
        <v>15</v>
      </c>
      <c r="D25" s="95"/>
      <c r="E25" s="95"/>
      <c r="F25" s="95"/>
      <c r="G25" s="95"/>
      <c r="H25" s="95"/>
      <c r="I25" s="95"/>
      <c r="J25" s="95"/>
      <c r="K25" s="95"/>
      <c r="L25" s="95"/>
    </row>
    <row r="26" spans="3:14" ht="21.75" customHeight="1" x14ac:dyDescent="0.35">
      <c r="C26" s="31" t="s">
        <v>3</v>
      </c>
      <c r="D26" s="31" t="s">
        <v>4</v>
      </c>
      <c r="E26" s="31" t="s">
        <v>5</v>
      </c>
      <c r="F26" s="31" t="s">
        <v>6</v>
      </c>
      <c r="G26" s="31" t="s">
        <v>7</v>
      </c>
      <c r="H26" s="31" t="s">
        <v>8</v>
      </c>
      <c r="I26" s="31" t="s">
        <v>9</v>
      </c>
      <c r="J26" s="31" t="s">
        <v>10</v>
      </c>
      <c r="K26" s="31" t="s">
        <v>11</v>
      </c>
      <c r="L26" s="31" t="s">
        <v>12</v>
      </c>
    </row>
    <row r="27" spans="3:14" ht="19.5" customHeight="1" x14ac:dyDescent="0.35">
      <c r="C27" s="27">
        <f>'Phase 1 - Poule D'!C21</f>
        <v>1</v>
      </c>
      <c r="D27" s="22" t="str">
        <f>'Phase 1 - Poule D'!D21</f>
        <v>Équipe 13</v>
      </c>
      <c r="E27" s="27">
        <f>'Phase 1 - Poule D'!E21</f>
        <v>3</v>
      </c>
      <c r="F27" s="27">
        <f>'Phase 1 - Poule D'!F21</f>
        <v>1</v>
      </c>
      <c r="G27" s="27">
        <f>'Phase 1 - Poule D'!G21</f>
        <v>2</v>
      </c>
      <c r="H27" s="27">
        <f>'Phase 1 - Poule D'!H21</f>
        <v>0</v>
      </c>
      <c r="I27" s="33">
        <f>'Phase 1 - Poule D'!I21</f>
        <v>4</v>
      </c>
      <c r="J27" s="27">
        <f>'Phase 1 - Poule D'!J21</f>
        <v>8</v>
      </c>
      <c r="K27" s="27">
        <f>'Phase 1 - Poule D'!K21</f>
        <v>4</v>
      </c>
      <c r="L27" s="34">
        <f>'Phase 1 - Poule D'!L21</f>
        <v>4</v>
      </c>
      <c r="M27" s="46">
        <f>I27*1000+L27</f>
        <v>4004</v>
      </c>
      <c r="N27" s="46">
        <f>RANK(M27,M27:M30,0)+COUNTIF($M$27:M27,M27)-1</f>
        <v>1</v>
      </c>
    </row>
    <row r="28" spans="3:14" ht="19.5" customHeight="1" x14ac:dyDescent="0.35">
      <c r="C28" s="30">
        <f>'Phase 1 - Poule D'!C22</f>
        <v>2</v>
      </c>
      <c r="D28" s="25" t="str">
        <f>'Phase 1 - Poule D'!D22</f>
        <v>Équipe 16</v>
      </c>
      <c r="E28" s="30">
        <f>'Phase 1 - Poule D'!E22</f>
        <v>3</v>
      </c>
      <c r="F28" s="30">
        <f>'Phase 1 - Poule D'!F22</f>
        <v>1</v>
      </c>
      <c r="G28" s="30">
        <f>'Phase 1 - Poule D'!G22</f>
        <v>1</v>
      </c>
      <c r="H28" s="30">
        <f>'Phase 1 - Poule D'!H22</f>
        <v>1</v>
      </c>
      <c r="I28" s="33">
        <f>'Phase 1 - Poule D'!I22</f>
        <v>3</v>
      </c>
      <c r="J28" s="30">
        <f>'Phase 1 - Poule D'!J22</f>
        <v>6</v>
      </c>
      <c r="K28" s="30">
        <f>'Phase 1 - Poule D'!K22</f>
        <v>7</v>
      </c>
      <c r="L28" s="34">
        <f>'Phase 1 - Poule D'!L22</f>
        <v>-1</v>
      </c>
      <c r="M28" s="46">
        <f>I28*1000+L28</f>
        <v>2999</v>
      </c>
      <c r="N28" s="46">
        <f>RANK(M28,M27:M30,0)+COUNTIF($M$27:M28,M28)-1</f>
        <v>2</v>
      </c>
    </row>
    <row r="29" spans="3:14" ht="19.5" customHeight="1" x14ac:dyDescent="0.35">
      <c r="C29" s="27">
        <f>'Phase 1 - Poule D'!C23</f>
        <v>3</v>
      </c>
      <c r="D29" s="22" t="str">
        <f>'Phase 1 - Poule D'!D23</f>
        <v>Équipe 14</v>
      </c>
      <c r="E29" s="27">
        <f>'Phase 1 - Poule D'!E23</f>
        <v>3</v>
      </c>
      <c r="F29" s="27">
        <f>'Phase 1 - Poule D'!F23</f>
        <v>1</v>
      </c>
      <c r="G29" s="27">
        <f>'Phase 1 - Poule D'!G23</f>
        <v>1</v>
      </c>
      <c r="H29" s="27">
        <f>'Phase 1 - Poule D'!H23</f>
        <v>1</v>
      </c>
      <c r="I29" s="33">
        <f>'Phase 1 - Poule D'!I23</f>
        <v>3</v>
      </c>
      <c r="J29" s="27">
        <f>'Phase 1 - Poule D'!J23</f>
        <v>4</v>
      </c>
      <c r="K29" s="27">
        <f>'Phase 1 - Poule D'!K23</f>
        <v>6</v>
      </c>
      <c r="L29" s="34">
        <f>'Phase 1 - Poule D'!L23</f>
        <v>-2</v>
      </c>
      <c r="M29" s="46">
        <f>I29*1000+L29</f>
        <v>2998</v>
      </c>
      <c r="N29" s="46">
        <f>RANK(M29,M27:M30,0)+COUNTIF($M$27:M29,M29)-1</f>
        <v>3</v>
      </c>
    </row>
    <row r="30" spans="3:14" ht="19.5" customHeight="1" x14ac:dyDescent="0.35">
      <c r="C30" s="30">
        <f>'Phase 1 - Poule D'!C24</f>
        <v>4</v>
      </c>
      <c r="D30" s="25" t="str">
        <f>'Phase 1 - Poule D'!D24</f>
        <v>Équipe 15</v>
      </c>
      <c r="E30" s="30">
        <f>'Phase 1 - Poule D'!E24</f>
        <v>3</v>
      </c>
      <c r="F30" s="30">
        <f>'Phase 1 - Poule D'!F24</f>
        <v>0</v>
      </c>
      <c r="G30" s="30">
        <f>'Phase 1 - Poule D'!G24</f>
        <v>2</v>
      </c>
      <c r="H30" s="30">
        <f>'Phase 1 - Poule D'!H24</f>
        <v>1</v>
      </c>
      <c r="I30" s="33">
        <f>'Phase 1 - Poule D'!I24</f>
        <v>2</v>
      </c>
      <c r="J30" s="30">
        <f>'Phase 1 - Poule D'!J24</f>
        <v>3</v>
      </c>
      <c r="K30" s="30">
        <f>'Phase 1 - Poule D'!K24</f>
        <v>4</v>
      </c>
      <c r="L30" s="34">
        <f>'Phase 1 - Poule D'!L24</f>
        <v>-1</v>
      </c>
      <c r="M30" s="46">
        <f>I30*1000+L30</f>
        <v>1999</v>
      </c>
      <c r="N30" s="46">
        <f>RANK(M30,M27:M30,0)+COUNTIF($M$27:M30,M30)-1</f>
        <v>4</v>
      </c>
    </row>
    <row r="32" spans="3:14" ht="24.75" customHeight="1" x14ac:dyDescent="0.35">
      <c r="C32" s="120" t="s">
        <v>16</v>
      </c>
      <c r="D32" s="95"/>
      <c r="E32" s="95"/>
      <c r="F32" s="95"/>
      <c r="G32" s="95"/>
      <c r="H32" s="95"/>
      <c r="I32" s="95"/>
      <c r="J32" s="95"/>
      <c r="K32" s="95"/>
      <c r="L32" s="95"/>
    </row>
    <row r="33" spans="3:20" ht="21.75" customHeight="1" x14ac:dyDescent="0.35">
      <c r="C33" s="32" t="s">
        <v>3</v>
      </c>
      <c r="D33" s="32" t="s">
        <v>4</v>
      </c>
      <c r="E33" s="32" t="s">
        <v>5</v>
      </c>
      <c r="F33" s="32" t="s">
        <v>6</v>
      </c>
      <c r="G33" s="32" t="s">
        <v>7</v>
      </c>
      <c r="H33" s="32" t="s">
        <v>8</v>
      </c>
      <c r="I33" s="32" t="s">
        <v>9</v>
      </c>
      <c r="J33" s="32" t="s">
        <v>10</v>
      </c>
      <c r="K33" s="32" t="s">
        <v>11</v>
      </c>
      <c r="L33" s="32" t="s">
        <v>12</v>
      </c>
    </row>
    <row r="34" spans="3:20" ht="19.5" customHeight="1" x14ac:dyDescent="0.35">
      <c r="C34" s="27">
        <f>'Phase 1 - Poule E'!C21</f>
        <v>1</v>
      </c>
      <c r="D34" s="22" t="str">
        <f>'Phase 1 - Poule E'!D21</f>
        <v>Équipe 19</v>
      </c>
      <c r="E34" s="27">
        <f>'Phase 1 - Poule E'!E21</f>
        <v>3</v>
      </c>
      <c r="F34" s="27">
        <f>'Phase 1 - Poule E'!F21</f>
        <v>1</v>
      </c>
      <c r="G34" s="27">
        <f>'Phase 1 - Poule E'!G21</f>
        <v>2</v>
      </c>
      <c r="H34" s="27">
        <f>'Phase 1 - Poule E'!H21</f>
        <v>0</v>
      </c>
      <c r="I34" s="33">
        <f>'Phase 1 - Poule E'!I21</f>
        <v>4</v>
      </c>
      <c r="J34" s="27">
        <f>'Phase 1 - Poule E'!J21</f>
        <v>14</v>
      </c>
      <c r="K34" s="27">
        <f>'Phase 1 - Poule E'!K21</f>
        <v>4</v>
      </c>
      <c r="L34" s="34">
        <f>'Phase 1 - Poule E'!L21</f>
        <v>10</v>
      </c>
      <c r="M34" s="46">
        <f>I34*1000+L34</f>
        <v>4010</v>
      </c>
      <c r="N34" s="46">
        <f>RANK(M34,M34:M37,0)+COUNTIF($M$34:M34,M34)-1</f>
        <v>1</v>
      </c>
    </row>
    <row r="35" spans="3:20" ht="19.5" customHeight="1" x14ac:dyDescent="0.35">
      <c r="C35" s="30">
        <f>'Phase 1 - Poule E'!C22</f>
        <v>2</v>
      </c>
      <c r="D35" s="25" t="str">
        <f>'Phase 1 - Poule E'!D22</f>
        <v>Équipe 17</v>
      </c>
      <c r="E35" s="30">
        <f>'Phase 1 - Poule E'!E22</f>
        <v>3</v>
      </c>
      <c r="F35" s="30">
        <f>'Phase 1 - Poule E'!F22</f>
        <v>1</v>
      </c>
      <c r="G35" s="30">
        <f>'Phase 1 - Poule E'!G22</f>
        <v>2</v>
      </c>
      <c r="H35" s="30">
        <f>'Phase 1 - Poule E'!H22</f>
        <v>0</v>
      </c>
      <c r="I35" s="33">
        <f>'Phase 1 - Poule E'!I22</f>
        <v>4</v>
      </c>
      <c r="J35" s="30">
        <f>'Phase 1 - Poule E'!J22</f>
        <v>7</v>
      </c>
      <c r="K35" s="30">
        <f>'Phase 1 - Poule E'!K22</f>
        <v>4</v>
      </c>
      <c r="L35" s="34">
        <f>'Phase 1 - Poule E'!L22</f>
        <v>3</v>
      </c>
      <c r="M35" s="46">
        <f>I35*1000+L35</f>
        <v>4003</v>
      </c>
      <c r="N35" s="46">
        <f>RANK(M35,M34:M37,0)+COUNTIF($M$34:M35,M35)-1</f>
        <v>2</v>
      </c>
    </row>
    <row r="36" spans="3:20" ht="19.5" customHeight="1" x14ac:dyDescent="0.35">
      <c r="C36" s="27">
        <f>'Phase 1 - Poule E'!C23</f>
        <v>3</v>
      </c>
      <c r="D36" s="22" t="str">
        <f>'Phase 1 - Poule E'!D23</f>
        <v>Équipe 18</v>
      </c>
      <c r="E36" s="27">
        <f>'Phase 1 - Poule E'!E23</f>
        <v>3</v>
      </c>
      <c r="F36" s="27">
        <f>'Phase 1 - Poule E'!F23</f>
        <v>1</v>
      </c>
      <c r="G36" s="27">
        <f>'Phase 1 - Poule E'!G23</f>
        <v>1</v>
      </c>
      <c r="H36" s="27">
        <f>'Phase 1 - Poule E'!H23</f>
        <v>1</v>
      </c>
      <c r="I36" s="33">
        <f>'Phase 1 - Poule E'!I23</f>
        <v>3</v>
      </c>
      <c r="J36" s="27">
        <f>'Phase 1 - Poule E'!J23</f>
        <v>4</v>
      </c>
      <c r="K36" s="27">
        <f>'Phase 1 - Poule E'!K23</f>
        <v>5</v>
      </c>
      <c r="L36" s="34">
        <f>'Phase 1 - Poule E'!L23</f>
        <v>-1</v>
      </c>
      <c r="M36" s="46">
        <f>I36*1000+L36</f>
        <v>2999</v>
      </c>
      <c r="N36" s="46">
        <f>RANK(M36,M34:M37,0)+COUNTIF($M$34:M36,M36)-1</f>
        <v>3</v>
      </c>
    </row>
    <row r="37" spans="3:20" ht="19.5" customHeight="1" x14ac:dyDescent="0.35">
      <c r="C37" s="30">
        <f>'Phase 1 - Poule E'!C24</f>
        <v>4</v>
      </c>
      <c r="D37" s="25" t="str">
        <f>'Phase 1 - Poule E'!D24</f>
        <v>Équipe 20</v>
      </c>
      <c r="E37" s="30">
        <f>'Phase 1 - Poule E'!E24</f>
        <v>3</v>
      </c>
      <c r="F37" s="30">
        <f>'Phase 1 - Poule E'!F24</f>
        <v>0</v>
      </c>
      <c r="G37" s="30">
        <f>'Phase 1 - Poule E'!G24</f>
        <v>1</v>
      </c>
      <c r="H37" s="30">
        <f>'Phase 1 - Poule E'!H24</f>
        <v>2</v>
      </c>
      <c r="I37" s="33">
        <f>'Phase 1 - Poule E'!I24</f>
        <v>1</v>
      </c>
      <c r="J37" s="30">
        <f>'Phase 1 - Poule E'!J24</f>
        <v>6</v>
      </c>
      <c r="K37" s="30">
        <f>'Phase 1 - Poule E'!K24</f>
        <v>18</v>
      </c>
      <c r="L37" s="34">
        <f>'Phase 1 - Poule E'!L24</f>
        <v>-12</v>
      </c>
      <c r="M37" s="46">
        <f>I37*1000+L37</f>
        <v>988</v>
      </c>
      <c r="N37" s="46">
        <f>RANK(M37,M34:M37,0)+COUNTIF($M$34:M37,M37)-1</f>
        <v>4</v>
      </c>
    </row>
    <row r="40" spans="3:20" ht="30" customHeight="1" x14ac:dyDescent="0.35">
      <c r="C40" s="105" t="s">
        <v>17</v>
      </c>
      <c r="D40" s="95"/>
      <c r="E40" s="95"/>
      <c r="F40" s="95"/>
      <c r="G40" s="95"/>
      <c r="H40" s="95"/>
      <c r="I40" s="95"/>
      <c r="J40" s="95"/>
      <c r="K40" s="95"/>
      <c r="L40" s="95"/>
    </row>
    <row r="41" spans="3:20" ht="24.75" customHeight="1" x14ac:dyDescent="0.35">
      <c r="C41" s="103" t="s">
        <v>18</v>
      </c>
      <c r="D41" s="95"/>
      <c r="E41" s="95"/>
      <c r="F41" s="95"/>
      <c r="G41" s="95"/>
      <c r="H41" s="95"/>
      <c r="I41" s="95"/>
      <c r="J41" s="95"/>
      <c r="K41" s="95"/>
      <c r="L41" s="95"/>
    </row>
    <row r="42" spans="3:20" ht="24.75" customHeight="1" x14ac:dyDescent="0.35">
      <c r="C42" s="124" t="s">
        <v>19</v>
      </c>
      <c r="D42" s="95"/>
      <c r="E42" s="95"/>
      <c r="F42" s="95"/>
      <c r="G42" s="95"/>
      <c r="H42" s="95"/>
      <c r="I42" s="95"/>
      <c r="J42" s="95"/>
      <c r="K42" s="95"/>
      <c r="L42" s="95"/>
    </row>
    <row r="44" spans="3:20" x14ac:dyDescent="0.35">
      <c r="O44" s="46" t="s">
        <v>20</v>
      </c>
      <c r="P44" s="46" t="str">
        <f>IFERROR(INDEX(D6:D9,MATCH(2,N6:N9,0)),"")</f>
        <v>Équipe 2</v>
      </c>
      <c r="Q44" s="46">
        <f>IFERROR(INDEX(I6:I9,MATCH(2,N6:N9,0)),"")</f>
        <v>4</v>
      </c>
      <c r="R44" s="46">
        <f>IFERROR(INDEX(L6:L9,MATCH(2,N6:N9,0)),"")</f>
        <v>1</v>
      </c>
      <c r="S44" s="46">
        <f>IFERROR(Q44*1000+R44,"")</f>
        <v>4001</v>
      </c>
      <c r="T44" s="46">
        <f>RANK(S44,S44:S48,0)+COUNTIF($S$44:S44,S44)-1</f>
        <v>2</v>
      </c>
    </row>
    <row r="45" spans="3:20" x14ac:dyDescent="0.35">
      <c r="O45" s="46" t="s">
        <v>21</v>
      </c>
      <c r="P45" s="46" t="str">
        <f>IFERROR(INDEX(D13:D16,MATCH(2,N13:N16,0)),"")</f>
        <v>Équipe 6</v>
      </c>
      <c r="Q45" s="46">
        <f>IFERROR(INDEX(I13:I16,MATCH(2,N13:N16,0)),"")</f>
        <v>3</v>
      </c>
      <c r="R45" s="46">
        <f>IFERROR(INDEX(L13:L16,MATCH(2,N13:N16,0)),"")</f>
        <v>0</v>
      </c>
      <c r="S45" s="46">
        <f>IFERROR(Q45*1000+R45,"")</f>
        <v>3000</v>
      </c>
      <c r="T45" s="46">
        <f>RANK(S45,S44:S48,0)+COUNTIF($S$44:S45,S45)-1</f>
        <v>3</v>
      </c>
    </row>
    <row r="46" spans="3:20" x14ac:dyDescent="0.35">
      <c r="O46" s="46" t="s">
        <v>22</v>
      </c>
      <c r="P46" s="46" t="str">
        <f>IFERROR(INDEX(D20:D23,MATCH(2,N20:N23,0)),"")</f>
        <v>Équipe 11</v>
      </c>
      <c r="Q46" s="46">
        <f>IFERROR(INDEX(I20:I23,MATCH(2,N20:N23,0)),"")</f>
        <v>2</v>
      </c>
      <c r="R46" s="46">
        <f>IFERROR(INDEX(L20:L23,MATCH(2,N20:N23,0)),"")</f>
        <v>4</v>
      </c>
      <c r="S46" s="46">
        <f>IFERROR(Q46*1000+R46,"")</f>
        <v>2004</v>
      </c>
      <c r="T46" s="46">
        <f>RANK(S46,S44:S48,0)+COUNTIF($S$44:S46,S46)-1</f>
        <v>5</v>
      </c>
    </row>
    <row r="47" spans="3:20" x14ac:dyDescent="0.35">
      <c r="O47" s="46" t="s">
        <v>8</v>
      </c>
      <c r="P47" s="46" t="str">
        <f>IFERROR(INDEX(D27:D30,MATCH(2,N27:N30,0)),"")</f>
        <v>Équipe 16</v>
      </c>
      <c r="Q47" s="46">
        <f>IFERROR(INDEX(I27:I30,MATCH(2,N27:N30,0)),"")</f>
        <v>3</v>
      </c>
      <c r="R47" s="46">
        <f>IFERROR(INDEX(L27:L30,MATCH(2,N27:N30,0)),"")</f>
        <v>-1</v>
      </c>
      <c r="S47" s="46">
        <f>IFERROR(Q47*1000+R47,"")</f>
        <v>2999</v>
      </c>
      <c r="T47" s="46">
        <f>RANK(S47,S44:S48,0)+COUNTIF($S$44:S47,S47)-1</f>
        <v>4</v>
      </c>
    </row>
    <row r="48" spans="3:20" x14ac:dyDescent="0.35">
      <c r="O48" s="46" t="s">
        <v>23</v>
      </c>
      <c r="P48" s="46" t="str">
        <f>IFERROR(INDEX(D34:D37,MATCH(2,N34:N37,0)),"")</f>
        <v>Équipe 17</v>
      </c>
      <c r="Q48" s="46">
        <f>IFERROR(INDEX(I34:I37,MATCH(2,N34:N37,0)),"")</f>
        <v>4</v>
      </c>
      <c r="R48" s="46">
        <f>IFERROR(INDEX(L34:L37,MATCH(2,N34:N37,0)),"")</f>
        <v>3</v>
      </c>
      <c r="S48" s="46">
        <f>IFERROR(Q48*1000+R48,"")</f>
        <v>4003</v>
      </c>
      <c r="T48" s="46">
        <f>RANK(S48,S44:S48,0)+COUNTIF($S$44:S48,S48)-1</f>
        <v>1</v>
      </c>
    </row>
    <row r="49" spans="1:28" x14ac:dyDescent="0.3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V49" s="47"/>
      <c r="W49" s="47"/>
      <c r="X49" s="47"/>
      <c r="Y49" s="47"/>
      <c r="Z49" s="47"/>
      <c r="AA49" s="47"/>
      <c r="AB49" s="47"/>
    </row>
    <row r="50" spans="1:28" ht="28" customHeight="1" x14ac:dyDescent="0.35">
      <c r="A50" s="47"/>
      <c r="B50" s="47"/>
      <c r="C50" s="99" t="s">
        <v>24</v>
      </c>
      <c r="D50" s="100"/>
      <c r="E50" s="100"/>
      <c r="F50" s="100"/>
      <c r="G50" s="100"/>
      <c r="H50" s="100"/>
      <c r="I50" s="100"/>
      <c r="J50" s="100"/>
      <c r="K50" s="100"/>
      <c r="L50" s="101"/>
      <c r="M50" s="47"/>
      <c r="N50" s="47"/>
      <c r="O50" s="47"/>
      <c r="P50" s="47"/>
      <c r="Q50" s="47"/>
      <c r="R50" s="47"/>
      <c r="S50" s="47"/>
      <c r="T50" s="47"/>
      <c r="V50" s="125" t="s">
        <v>25</v>
      </c>
      <c r="W50" s="89"/>
      <c r="X50" s="89"/>
      <c r="Y50" s="89"/>
      <c r="Z50" s="89"/>
      <c r="AA50" s="90"/>
      <c r="AB50" s="47"/>
    </row>
    <row r="51" spans="1:28" ht="24" customHeight="1" x14ac:dyDescent="0.3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V51" s="121"/>
      <c r="W51" s="89"/>
      <c r="X51" s="89"/>
      <c r="Y51" s="89"/>
      <c r="Z51" s="89"/>
      <c r="AA51" s="90"/>
      <c r="AB51" s="47"/>
    </row>
    <row r="52" spans="1:28" ht="16" customHeight="1" x14ac:dyDescent="0.35">
      <c r="A52" s="47"/>
      <c r="B52" s="47"/>
      <c r="C52" s="118" t="s">
        <v>26</v>
      </c>
      <c r="D52" s="100"/>
      <c r="E52" s="100"/>
      <c r="F52" s="100"/>
      <c r="G52" s="100"/>
      <c r="H52" s="100"/>
      <c r="I52" s="100"/>
      <c r="J52" s="100"/>
      <c r="K52" s="100"/>
      <c r="L52" s="101"/>
      <c r="M52" s="47"/>
      <c r="N52" s="47"/>
      <c r="O52" s="47"/>
      <c r="P52" s="47"/>
      <c r="Q52" s="47"/>
      <c r="R52" s="47"/>
      <c r="S52" s="47"/>
      <c r="T52" s="47"/>
      <c r="V52" s="117" t="s">
        <v>27</v>
      </c>
      <c r="W52" s="89"/>
      <c r="X52" s="89"/>
      <c r="Y52" s="89"/>
      <c r="Z52" s="89"/>
      <c r="AA52" s="90"/>
      <c r="AB52" s="47"/>
    </row>
    <row r="53" spans="1:28" ht="18" customHeight="1" x14ac:dyDescent="0.35">
      <c r="A53" s="47"/>
      <c r="B53" s="47"/>
      <c r="C53" s="48" t="s">
        <v>28</v>
      </c>
      <c r="D53" s="48" t="s">
        <v>4</v>
      </c>
      <c r="E53" s="48" t="s">
        <v>29</v>
      </c>
      <c r="F53" s="48"/>
      <c r="G53" s="48"/>
      <c r="H53" s="48"/>
      <c r="I53" s="48" t="s">
        <v>9</v>
      </c>
      <c r="J53" s="48"/>
      <c r="K53" s="48"/>
      <c r="L53" s="48" t="s">
        <v>12</v>
      </c>
      <c r="M53" s="47"/>
      <c r="N53" s="47"/>
      <c r="O53" s="47"/>
      <c r="P53" s="47"/>
      <c r="Q53" s="47"/>
      <c r="R53" s="47"/>
      <c r="S53" s="47"/>
      <c r="T53" s="47"/>
      <c r="V53" s="47"/>
      <c r="W53" s="47"/>
      <c r="X53" s="47"/>
      <c r="Y53" s="47"/>
      <c r="Z53" s="47"/>
      <c r="AA53" s="47"/>
      <c r="AB53" s="47"/>
    </row>
    <row r="54" spans="1:28" ht="20" customHeight="1" x14ac:dyDescent="0.35">
      <c r="A54" s="47"/>
      <c r="B54" s="47"/>
      <c r="C54" s="49">
        <v>1</v>
      </c>
      <c r="D54" s="50" t="str">
        <f>IFERROR(INDEX(D85:D92,MATCH(1,$N$85:$N$92,0)),"")</f>
        <v>Équipe 10</v>
      </c>
      <c r="E54" s="49" t="str">
        <f>IFERROR(INDEX(E85:E92,MATCH(1,$N$85:$N$92,0)),"")</f>
        <v>C</v>
      </c>
      <c r="F54" s="49"/>
      <c r="G54" s="49"/>
      <c r="H54" s="49"/>
      <c r="I54" s="51">
        <f>IFERROR(INDEX(I85:I92,MATCH(1,$N$85:$N$92,0)),"")</f>
        <v>6</v>
      </c>
      <c r="J54" s="49"/>
      <c r="K54" s="49"/>
      <c r="L54" s="52">
        <f>IFERROR(INDEX(L85:L92,MATCH(1,$N$85:$N$92,0)),"")</f>
        <v>6</v>
      </c>
      <c r="M54" s="47"/>
      <c r="N54" s="47"/>
      <c r="O54" s="47"/>
      <c r="P54" s="47"/>
      <c r="Q54" s="47"/>
      <c r="R54" s="47"/>
      <c r="S54" s="47"/>
      <c r="T54" s="47"/>
      <c r="U54" s="46" t="str">
        <f>IFERROR(INDEX(E85:E92,MATCH(1,$N$85:$N$92,0)),"")</f>
        <v>C</v>
      </c>
      <c r="V54" s="123" t="s">
        <v>30</v>
      </c>
      <c r="W54" s="89"/>
      <c r="X54" s="89"/>
      <c r="Y54" s="89"/>
      <c r="Z54" s="89"/>
      <c r="AA54" s="90"/>
      <c r="AB54" s="47"/>
    </row>
    <row r="55" spans="1:28" ht="20" customHeight="1" x14ac:dyDescent="0.35">
      <c r="A55" s="47"/>
      <c r="B55" s="47"/>
      <c r="C55" s="53">
        <v>2</v>
      </c>
      <c r="D55" s="54" t="str">
        <f>IFERROR(INDEX(D85:D92,MATCH(2,$N$85:$N$92,0)),"")</f>
        <v>Équipe 19</v>
      </c>
      <c r="E55" s="53" t="str">
        <f>IFERROR(INDEX(E85:E92,MATCH(2,$N$85:$N$92,0)),"")</f>
        <v>E</v>
      </c>
      <c r="F55" s="53"/>
      <c r="G55" s="53"/>
      <c r="H55" s="53"/>
      <c r="I55" s="51">
        <f>IFERROR(INDEX(I85:I92,MATCH(2,$N$85:$N$92,0)),"")</f>
        <v>4</v>
      </c>
      <c r="J55" s="53"/>
      <c r="K55" s="53"/>
      <c r="L55" s="52">
        <f>IFERROR(INDEX(L85:L92,MATCH(2,$N$85:$N$92,0)),"")</f>
        <v>10</v>
      </c>
      <c r="M55" s="47"/>
      <c r="N55" s="47"/>
      <c r="O55" s="47"/>
      <c r="P55" s="47"/>
      <c r="Q55" s="47"/>
      <c r="R55" s="47"/>
      <c r="S55" s="47"/>
      <c r="T55" s="47"/>
      <c r="U55" s="46" t="str">
        <f>IFERROR(INDEX(E85:E92,MATCH(2,$N$85:$N$92,0)),"")</f>
        <v>E</v>
      </c>
      <c r="V55" s="116" t="s">
        <v>31</v>
      </c>
      <c r="W55" s="89"/>
      <c r="X55" s="89"/>
      <c r="Y55" s="89"/>
      <c r="Z55" s="89"/>
      <c r="AA55" s="90"/>
      <c r="AB55" s="47"/>
    </row>
    <row r="56" spans="1:28" ht="16" customHeight="1" x14ac:dyDescent="0.35">
      <c r="A56" s="47"/>
      <c r="B56" s="47"/>
      <c r="C56" s="49">
        <v>3</v>
      </c>
      <c r="D56" s="50" t="str">
        <f>IFERROR(INDEX(D85:D92,MATCH(3,$N$85:$N$92,0)),"")</f>
        <v>Équipe 13</v>
      </c>
      <c r="E56" s="49" t="str">
        <f>IFERROR(INDEX(E85:E92,MATCH(3,$N$85:$N$92,0)),"")</f>
        <v>D</v>
      </c>
      <c r="F56" s="49"/>
      <c r="G56" s="49"/>
      <c r="H56" s="49"/>
      <c r="I56" s="51">
        <f>IFERROR(INDEX(I85:I92,MATCH(3,$N$85:$N$92,0)),"")</f>
        <v>4</v>
      </c>
      <c r="J56" s="49"/>
      <c r="K56" s="49"/>
      <c r="L56" s="52">
        <f>IFERROR(INDEX(L85:L92,MATCH(3,$N$85:$N$92,0)),"")</f>
        <v>4</v>
      </c>
      <c r="M56" s="47"/>
      <c r="N56" s="47"/>
      <c r="O56" s="47"/>
      <c r="P56" s="47"/>
      <c r="Q56" s="47"/>
      <c r="R56" s="47"/>
      <c r="S56" s="47"/>
      <c r="T56" s="47"/>
      <c r="U56" s="46" t="str">
        <f>IFERROR(INDEX(E85:E92,MATCH(3,$N$85:$N$92,0)),"")</f>
        <v>D</v>
      </c>
      <c r="V56" s="56" t="s">
        <v>32</v>
      </c>
      <c r="W56" s="56" t="s">
        <v>4</v>
      </c>
      <c r="X56" s="56" t="s">
        <v>33</v>
      </c>
      <c r="Y56" s="56"/>
      <c r="Z56" s="56"/>
      <c r="AA56" s="56"/>
      <c r="AB56" s="47"/>
    </row>
    <row r="57" spans="1:28" ht="18" customHeight="1" x14ac:dyDescent="0.35">
      <c r="A57" s="47"/>
      <c r="B57" s="47"/>
      <c r="C57" s="53">
        <v>4</v>
      </c>
      <c r="D57" s="54" t="str">
        <f>IFERROR(INDEX(D85:D92,MATCH(4,$N$85:$N$92,0)),"")</f>
        <v>Équipe 17</v>
      </c>
      <c r="E57" s="53" t="str">
        <f>IFERROR(INDEX(E85:E92,MATCH(4,$N$85:$N$92,0)),"")</f>
        <v>E</v>
      </c>
      <c r="F57" s="53"/>
      <c r="G57" s="53"/>
      <c r="H57" s="53"/>
      <c r="I57" s="51">
        <f>IFERROR(INDEX(I85:I92,MATCH(4,$N$85:$N$92,0)),"")</f>
        <v>4</v>
      </c>
      <c r="J57" s="53"/>
      <c r="K57" s="53"/>
      <c r="L57" s="52">
        <f>IFERROR(INDEX(L85:L92,MATCH(4,$N$85:$N$92,0)),"")</f>
        <v>3</v>
      </c>
      <c r="M57" s="47"/>
      <c r="N57" s="47"/>
      <c r="O57" s="47"/>
      <c r="P57" s="47"/>
      <c r="Q57" s="47"/>
      <c r="R57" s="47"/>
      <c r="S57" s="47"/>
      <c r="T57" s="47"/>
      <c r="U57" s="46" t="str">
        <f>IFERROR(INDEX(E85:E92,MATCH(4,$N$85:$N$92,0)),"")</f>
        <v>E</v>
      </c>
      <c r="V57" s="57">
        <v>1</v>
      </c>
      <c r="W57" s="58" t="s">
        <v>35</v>
      </c>
      <c r="X57" s="59" t="s">
        <v>22</v>
      </c>
      <c r="Y57" s="57"/>
      <c r="Z57" s="57"/>
      <c r="AA57" s="57"/>
      <c r="AB57" s="47"/>
    </row>
    <row r="58" spans="1:28" ht="18" customHeight="1" x14ac:dyDescent="0.35">
      <c r="A58" s="47"/>
      <c r="B58" s="47"/>
      <c r="C58" s="49">
        <v>5</v>
      </c>
      <c r="D58" s="50" t="str">
        <f>IFERROR(INDEX(D85:D92,MATCH(5,$N$85:$N$92,0)),"")</f>
        <v>Équipe 1</v>
      </c>
      <c r="E58" s="49" t="str">
        <f>IFERROR(INDEX(E85:E92,MATCH(5,$N$85:$N$92,0)),"")</f>
        <v>A</v>
      </c>
      <c r="F58" s="49"/>
      <c r="G58" s="49"/>
      <c r="H58" s="49"/>
      <c r="I58" s="51">
        <f>IFERROR(INDEX(I85:I92,MATCH(5,$N$85:$N$92,0)),"")</f>
        <v>4</v>
      </c>
      <c r="J58" s="49"/>
      <c r="K58" s="49"/>
      <c r="L58" s="52">
        <f>IFERROR(INDEX(L85:L92,MATCH(5,$N$85:$N$92,0)),"")</f>
        <v>2</v>
      </c>
      <c r="M58" s="47"/>
      <c r="N58" s="47"/>
      <c r="O58" s="47"/>
      <c r="P58" s="47"/>
      <c r="Q58" s="47"/>
      <c r="R58" s="47"/>
      <c r="S58" s="47"/>
      <c r="T58" s="47"/>
      <c r="U58" s="46" t="str">
        <f>IFERROR(INDEX(E85:E92,MATCH(5,$N$85:$N$92,0)),"")</f>
        <v>A</v>
      </c>
      <c r="V58" s="60">
        <v>2</v>
      </c>
      <c r="W58" s="61" t="s">
        <v>36</v>
      </c>
      <c r="X58" s="62" t="s">
        <v>20</v>
      </c>
      <c r="Y58" s="60"/>
      <c r="Z58" s="60"/>
      <c r="AA58" s="60"/>
      <c r="AB58" s="47"/>
    </row>
    <row r="59" spans="1:28" ht="10.5" customHeight="1" x14ac:dyDescent="0.35">
      <c r="A59" s="47"/>
      <c r="B59" s="47"/>
      <c r="C59" s="81">
        <v>6</v>
      </c>
      <c r="D59" s="84" t="str">
        <f>IFERROR(INDEX(D85:D92,MATCH(6,$N$85:$N$92,0)),"")</f>
        <v>Équipe 2</v>
      </c>
      <c r="E59" s="81" t="str">
        <f>IFERROR(INDEX(E85:E92,MATCH(6,$N$85:$N$92,0)),"")</f>
        <v>A</v>
      </c>
      <c r="F59" s="81"/>
      <c r="G59" s="81"/>
      <c r="H59" s="81"/>
      <c r="I59" s="82">
        <f>IFERROR(INDEX(I85:I92,MATCH(6,$N$85:$N$92,0)),"")</f>
        <v>4</v>
      </c>
      <c r="J59" s="81"/>
      <c r="K59" s="81"/>
      <c r="L59" s="83">
        <f>IFERROR(INDEX(L85:L92,MATCH(6,$N$85:$N$92,0)),"")</f>
        <v>1</v>
      </c>
      <c r="M59" s="47"/>
      <c r="N59" s="47"/>
      <c r="O59" s="47"/>
      <c r="P59" s="47"/>
      <c r="Q59" s="47"/>
      <c r="R59" s="47"/>
      <c r="S59" s="47"/>
      <c r="T59" s="47"/>
      <c r="V59" s="57">
        <v>3</v>
      </c>
      <c r="W59" s="58" t="s">
        <v>53</v>
      </c>
      <c r="X59" s="59" t="s">
        <v>23</v>
      </c>
      <c r="Y59" s="57"/>
      <c r="Z59" s="57"/>
      <c r="AA59" s="57"/>
      <c r="AB59" s="47"/>
    </row>
    <row r="60" spans="1:28" ht="8" customHeight="1" x14ac:dyDescent="0.35">
      <c r="A60" s="47"/>
      <c r="B60" s="47"/>
      <c r="C60" s="85">
        <f>C59</f>
        <v>6</v>
      </c>
      <c r="D60" s="85" t="str">
        <f t="shared" ref="D60:L60" si="0">D59</f>
        <v>Équipe 2</v>
      </c>
      <c r="E60" s="85" t="str">
        <f t="shared" si="0"/>
        <v>A</v>
      </c>
      <c r="F60" s="85"/>
      <c r="G60" s="85"/>
      <c r="H60" s="85"/>
      <c r="I60" s="86">
        <f t="shared" si="0"/>
        <v>4</v>
      </c>
      <c r="J60" s="85"/>
      <c r="K60" s="85"/>
      <c r="L60" s="87">
        <f t="shared" si="0"/>
        <v>1</v>
      </c>
      <c r="M60" s="47"/>
      <c r="N60" s="47"/>
      <c r="O60" s="47"/>
      <c r="P60" s="47"/>
      <c r="Q60" s="47"/>
      <c r="R60" s="47"/>
      <c r="S60" s="47"/>
      <c r="T60" s="47"/>
      <c r="U60" s="46" t="str">
        <f>IFERROR(INDEX(E85:E92,MATCH(6,$N$85:$N$92,0)),"")</f>
        <v>A</v>
      </c>
      <c r="V60" s="60">
        <v>4</v>
      </c>
      <c r="W60" s="61" t="s">
        <v>34</v>
      </c>
      <c r="X60" s="62" t="s">
        <v>21</v>
      </c>
      <c r="Y60" s="60"/>
      <c r="Z60" s="60"/>
      <c r="AA60" s="60"/>
      <c r="AB60" s="47"/>
    </row>
    <row r="61" spans="1:28" ht="18" customHeight="1" x14ac:dyDescent="0.35">
      <c r="A61" s="47"/>
      <c r="B61" s="47"/>
      <c r="C61" s="49">
        <v>7</v>
      </c>
      <c r="D61" s="50" t="str">
        <f>IFERROR(INDEX(D85:D92,MATCH(7,$N$85:$N$92,0)),"")</f>
        <v>Équipe 5</v>
      </c>
      <c r="E61" s="49" t="str">
        <f>IFERROR(INDEX(E85:E92,MATCH(7,$N$85:$N$92,0)),"")</f>
        <v>B</v>
      </c>
      <c r="F61" s="49"/>
      <c r="G61" s="49"/>
      <c r="H61" s="49"/>
      <c r="I61" s="51">
        <f>IFERROR(INDEX(I85:I92,MATCH(7,$N$85:$N$92,0)),"")</f>
        <v>3</v>
      </c>
      <c r="J61" s="49"/>
      <c r="K61" s="49"/>
      <c r="L61" s="52">
        <f>IFERROR(INDEX(L85:L92,MATCH(7,$N$85:$N$92,0)),"")</f>
        <v>0</v>
      </c>
      <c r="M61" s="47"/>
      <c r="N61" s="47"/>
      <c r="O61" s="47"/>
      <c r="P61" s="47"/>
      <c r="Q61" s="47"/>
      <c r="R61" s="47"/>
      <c r="S61" s="47"/>
      <c r="T61" s="47"/>
      <c r="U61" s="46" t="str">
        <f>IFERROR(INDEX(E85:E92,MATCH(7,$N$85:$N$92,0)),"")</f>
        <v>B</v>
      </c>
      <c r="V61" s="47"/>
      <c r="W61" s="47"/>
      <c r="X61" s="47"/>
      <c r="Y61" s="47"/>
      <c r="Z61" s="47"/>
      <c r="AA61" s="47"/>
      <c r="AB61" s="47"/>
    </row>
    <row r="62" spans="1:28" ht="20" customHeight="1" x14ac:dyDescent="0.35">
      <c r="A62" s="47"/>
      <c r="B62" s="47"/>
      <c r="C62" s="53">
        <v>8</v>
      </c>
      <c r="D62" s="54" t="str">
        <f>IFERROR(INDEX(D85:D92,MATCH(8,$N$85:$N$92,0)),"")</f>
        <v>Équipe 6</v>
      </c>
      <c r="E62" s="53" t="str">
        <f>IFERROR(INDEX(E85:E92,MATCH(8,$N$85:$N$92,0)),"")</f>
        <v>B</v>
      </c>
      <c r="F62" s="53"/>
      <c r="G62" s="53"/>
      <c r="H62" s="53"/>
      <c r="I62" s="51">
        <f>IFERROR(INDEX(I85:I92,MATCH(8,$N$85:$N$92,0)),"")</f>
        <v>3</v>
      </c>
      <c r="J62" s="53"/>
      <c r="K62" s="53"/>
      <c r="L62" s="52">
        <f>IFERROR(INDEX(L85:L92,MATCH(8,$N$85:$N$92,0)),"")</f>
        <v>0</v>
      </c>
      <c r="M62" s="47"/>
      <c r="N62" s="47"/>
      <c r="O62" s="47"/>
      <c r="P62" s="47"/>
      <c r="Q62" s="47"/>
      <c r="R62" s="47"/>
      <c r="S62" s="47"/>
      <c r="T62" s="47"/>
      <c r="U62" s="46" t="str">
        <f>IFERROR(INDEX(E85:E92,MATCH(8,$N$85:$N$92,0)),"")</f>
        <v>B</v>
      </c>
      <c r="V62" s="114" t="s">
        <v>38</v>
      </c>
      <c r="W62" s="89"/>
      <c r="X62" s="89"/>
      <c r="Y62" s="89"/>
      <c r="Z62" s="89"/>
      <c r="AA62" s="90"/>
      <c r="AB62" s="47"/>
    </row>
    <row r="63" spans="1:28" ht="16" customHeight="1" x14ac:dyDescent="0.3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V63" s="63" t="s">
        <v>32</v>
      </c>
      <c r="W63" s="63" t="s">
        <v>4</v>
      </c>
      <c r="X63" s="63" t="s">
        <v>33</v>
      </c>
      <c r="Y63" s="63"/>
      <c r="Z63" s="63"/>
      <c r="AA63" s="63"/>
      <c r="AB63" s="47"/>
    </row>
    <row r="64" spans="1:28" ht="18" customHeight="1" x14ac:dyDescent="0.35">
      <c r="A64" s="47"/>
      <c r="B64" s="47"/>
      <c r="C64" s="113" t="s">
        <v>39</v>
      </c>
      <c r="D64" s="100"/>
      <c r="E64" s="100"/>
      <c r="F64" s="100"/>
      <c r="G64" s="100"/>
      <c r="H64" s="100"/>
      <c r="I64" s="100"/>
      <c r="J64" s="100"/>
      <c r="K64" s="100"/>
      <c r="L64" s="101"/>
      <c r="M64" s="47"/>
      <c r="N64" s="47"/>
      <c r="O64" s="47"/>
      <c r="P64" s="47"/>
      <c r="Q64" s="47"/>
      <c r="R64" s="47"/>
      <c r="S64" s="47"/>
      <c r="T64" s="47"/>
      <c r="V64" s="64">
        <v>1</v>
      </c>
      <c r="W64" s="65" t="s">
        <v>41</v>
      </c>
      <c r="X64" s="66" t="s">
        <v>23</v>
      </c>
      <c r="Y64" s="64"/>
      <c r="Z64" s="64"/>
      <c r="AA64" s="64"/>
      <c r="AB64" s="47"/>
    </row>
    <row r="65" spans="1:28" ht="18" customHeight="1" x14ac:dyDescent="0.35">
      <c r="A65" s="47"/>
      <c r="B65" s="47"/>
      <c r="C65" s="55" t="s">
        <v>28</v>
      </c>
      <c r="D65" s="55" t="s">
        <v>4</v>
      </c>
      <c r="E65" s="55" t="s">
        <v>29</v>
      </c>
      <c r="F65" s="55"/>
      <c r="G65" s="55"/>
      <c r="H65" s="55"/>
      <c r="I65" s="55" t="s">
        <v>9</v>
      </c>
      <c r="J65" s="55"/>
      <c r="K65" s="55"/>
      <c r="L65" s="55" t="s">
        <v>12</v>
      </c>
      <c r="M65" s="47"/>
      <c r="N65" s="47"/>
      <c r="O65" s="47"/>
      <c r="P65" s="47"/>
      <c r="Q65" s="47"/>
      <c r="R65" s="47"/>
      <c r="S65" s="47"/>
      <c r="T65" s="47"/>
      <c r="V65" s="60">
        <v>2</v>
      </c>
      <c r="W65" s="61" t="s">
        <v>43</v>
      </c>
      <c r="X65" s="62" t="s">
        <v>21</v>
      </c>
      <c r="Y65" s="60"/>
      <c r="Z65" s="60"/>
      <c r="AA65" s="60"/>
      <c r="AB65" s="47"/>
    </row>
    <row r="66" spans="1:28" ht="18" customHeight="1" x14ac:dyDescent="0.35">
      <c r="A66" s="47"/>
      <c r="B66" s="47"/>
      <c r="C66" s="79">
        <v>1</v>
      </c>
      <c r="D66" s="80" t="str">
        <f t="shared" ref="D66:L66" si="1">IFERROR(INDEX(D93:D104,MATCH(1,$N$93:$N$104,0)),"")</f>
        <v>Équipe 3</v>
      </c>
      <c r="E66" s="79" t="str">
        <f t="shared" si="1"/>
        <v>A</v>
      </c>
      <c r="F66" s="79">
        <f t="shared" si="1"/>
        <v>0</v>
      </c>
      <c r="G66" s="79">
        <f t="shared" si="1"/>
        <v>0</v>
      </c>
      <c r="H66" s="79">
        <f t="shared" si="1"/>
        <v>0</v>
      </c>
      <c r="I66" s="51">
        <f t="shared" si="1"/>
        <v>3</v>
      </c>
      <c r="J66" s="79">
        <f t="shared" si="1"/>
        <v>0</v>
      </c>
      <c r="K66" s="79">
        <f t="shared" si="1"/>
        <v>0</v>
      </c>
      <c r="L66" s="52">
        <f t="shared" si="1"/>
        <v>0</v>
      </c>
      <c r="M66" s="47"/>
      <c r="N66" s="47"/>
      <c r="O66" s="47"/>
      <c r="P66" s="47"/>
      <c r="Q66" s="47"/>
      <c r="R66" s="47"/>
      <c r="S66" s="47"/>
      <c r="T66" s="47"/>
      <c r="U66" s="46" t="s">
        <v>20</v>
      </c>
      <c r="V66" s="64">
        <v>3</v>
      </c>
      <c r="W66" s="65" t="s">
        <v>37</v>
      </c>
      <c r="X66" s="66" t="s">
        <v>8</v>
      </c>
      <c r="Y66" s="64"/>
      <c r="Z66" s="64"/>
      <c r="AA66" s="64"/>
      <c r="AB66" s="47"/>
    </row>
    <row r="67" spans="1:28" ht="18" customHeight="1" x14ac:dyDescent="0.35">
      <c r="A67" s="47"/>
      <c r="B67" s="47"/>
      <c r="C67" s="53">
        <v>2</v>
      </c>
      <c r="D67" s="54" t="str">
        <f t="shared" ref="D67:L67" si="2">IFERROR(INDEX(D93:D104,MATCH(2,$N$93:$N$104,0)),"")</f>
        <v>Équipe 7</v>
      </c>
      <c r="E67" s="53" t="str">
        <f t="shared" si="2"/>
        <v>B</v>
      </c>
      <c r="F67" s="53">
        <f t="shared" si="2"/>
        <v>0</v>
      </c>
      <c r="G67" s="53">
        <f t="shared" si="2"/>
        <v>0</v>
      </c>
      <c r="H67" s="53">
        <f t="shared" si="2"/>
        <v>0</v>
      </c>
      <c r="I67" s="51">
        <f t="shared" si="2"/>
        <v>3</v>
      </c>
      <c r="J67" s="53">
        <f t="shared" si="2"/>
        <v>0</v>
      </c>
      <c r="K67" s="53">
        <f t="shared" si="2"/>
        <v>0</v>
      </c>
      <c r="L67" s="52">
        <f t="shared" si="2"/>
        <v>0</v>
      </c>
      <c r="M67" s="47"/>
      <c r="N67" s="47"/>
      <c r="O67" s="47"/>
      <c r="P67" s="47"/>
      <c r="Q67" s="47"/>
      <c r="R67" s="47"/>
      <c r="S67" s="47"/>
      <c r="T67" s="47"/>
      <c r="U67" s="46" t="s">
        <v>20</v>
      </c>
      <c r="V67" s="60">
        <v>4</v>
      </c>
      <c r="W67" s="61" t="s">
        <v>40</v>
      </c>
      <c r="X67" s="62" t="s">
        <v>20</v>
      </c>
      <c r="Y67" s="60"/>
      <c r="Z67" s="60"/>
      <c r="AA67" s="60"/>
      <c r="AB67" s="47"/>
    </row>
    <row r="68" spans="1:28" ht="18" customHeight="1" x14ac:dyDescent="0.35">
      <c r="A68" s="47"/>
      <c r="B68" s="47"/>
      <c r="C68" s="79">
        <v>3</v>
      </c>
      <c r="D68" s="80" t="str">
        <f t="shared" ref="D68:L68" si="3">IFERROR(INDEX(D93:D104,MATCH(3,$N$93:$N$104,0)),"")</f>
        <v>Équipe 8</v>
      </c>
      <c r="E68" s="79" t="str">
        <f t="shared" si="3"/>
        <v>B</v>
      </c>
      <c r="F68" s="79">
        <f t="shared" si="3"/>
        <v>0</v>
      </c>
      <c r="G68" s="79">
        <f t="shared" si="3"/>
        <v>0</v>
      </c>
      <c r="H68" s="79">
        <f t="shared" si="3"/>
        <v>0</v>
      </c>
      <c r="I68" s="51">
        <f t="shared" si="3"/>
        <v>3</v>
      </c>
      <c r="J68" s="79">
        <f t="shared" si="3"/>
        <v>0</v>
      </c>
      <c r="K68" s="79">
        <f t="shared" si="3"/>
        <v>0</v>
      </c>
      <c r="L68" s="52">
        <f t="shared" si="3"/>
        <v>0</v>
      </c>
      <c r="M68" s="47"/>
      <c r="N68" s="47"/>
      <c r="O68" s="47"/>
      <c r="P68" s="47"/>
      <c r="Q68" s="47"/>
      <c r="R68" s="47"/>
      <c r="S68" s="47"/>
      <c r="T68" s="47"/>
      <c r="U68" s="46" t="s">
        <v>21</v>
      </c>
      <c r="V68" s="47"/>
      <c r="W68" s="47"/>
      <c r="X68" s="47"/>
      <c r="Y68" s="47"/>
      <c r="Z68" s="47"/>
      <c r="AA68" s="47"/>
      <c r="AB68" s="47"/>
    </row>
    <row r="69" spans="1:28" ht="18" customHeight="1" x14ac:dyDescent="0.35">
      <c r="A69" s="47"/>
      <c r="B69" s="47"/>
      <c r="C69" s="53">
        <v>4</v>
      </c>
      <c r="D69" s="54" t="str">
        <f t="shared" ref="D69:L69" si="4">IFERROR(INDEX(D93:D104,MATCH(4,$N$93:$N$104,0)),"")</f>
        <v>Équipe 18</v>
      </c>
      <c r="E69" s="53" t="str">
        <f t="shared" si="4"/>
        <v>E</v>
      </c>
      <c r="F69" s="53">
        <f t="shared" si="4"/>
        <v>0</v>
      </c>
      <c r="G69" s="53">
        <f t="shared" si="4"/>
        <v>0</v>
      </c>
      <c r="H69" s="53">
        <f t="shared" si="4"/>
        <v>0</v>
      </c>
      <c r="I69" s="51">
        <f t="shared" si="4"/>
        <v>3</v>
      </c>
      <c r="J69" s="53">
        <f t="shared" si="4"/>
        <v>0</v>
      </c>
      <c r="K69" s="53">
        <f t="shared" si="4"/>
        <v>0</v>
      </c>
      <c r="L69" s="52">
        <f t="shared" si="4"/>
        <v>-1</v>
      </c>
      <c r="M69" s="47"/>
      <c r="N69" s="47"/>
      <c r="O69" s="47"/>
      <c r="P69" s="47"/>
      <c r="Q69" s="47"/>
      <c r="R69" s="47"/>
      <c r="S69" s="47"/>
      <c r="T69" s="47"/>
      <c r="U69" s="46" t="s">
        <v>21</v>
      </c>
      <c r="V69" s="47"/>
      <c r="W69" s="47"/>
      <c r="X69" s="47"/>
      <c r="Y69" s="47"/>
      <c r="Z69" s="47"/>
      <c r="AA69" s="47"/>
      <c r="AB69" s="47"/>
    </row>
    <row r="70" spans="1:28" ht="20" customHeight="1" x14ac:dyDescent="0.35">
      <c r="A70" s="47"/>
      <c r="B70" s="47"/>
      <c r="C70" s="79">
        <v>5</v>
      </c>
      <c r="D70" s="80" t="str">
        <f t="shared" ref="D70:L70" si="5">IFERROR(INDEX(D93:D104,MATCH(5,$N$93:$N$104,0)),"")</f>
        <v>Équipe 16</v>
      </c>
      <c r="E70" s="79" t="str">
        <f t="shared" si="5"/>
        <v>D</v>
      </c>
      <c r="F70" s="79">
        <f t="shared" si="5"/>
        <v>0</v>
      </c>
      <c r="G70" s="79">
        <f t="shared" si="5"/>
        <v>0</v>
      </c>
      <c r="H70" s="79">
        <f t="shared" si="5"/>
        <v>0</v>
      </c>
      <c r="I70" s="51">
        <f t="shared" si="5"/>
        <v>3</v>
      </c>
      <c r="J70" s="79">
        <f t="shared" si="5"/>
        <v>0</v>
      </c>
      <c r="K70" s="79">
        <f t="shared" si="5"/>
        <v>0</v>
      </c>
      <c r="L70" s="52">
        <f t="shared" si="5"/>
        <v>-1</v>
      </c>
      <c r="M70" s="47"/>
      <c r="N70" s="47"/>
      <c r="O70" s="47"/>
      <c r="P70" s="47"/>
      <c r="Q70" s="47"/>
      <c r="R70" s="47"/>
      <c r="S70" s="47"/>
      <c r="T70" s="47"/>
      <c r="U70" s="46" t="s">
        <v>22</v>
      </c>
      <c r="V70" s="93" t="s">
        <v>44</v>
      </c>
      <c r="W70" s="89"/>
      <c r="X70" s="89"/>
      <c r="Y70" s="89"/>
      <c r="Z70" s="89"/>
      <c r="AA70" s="90"/>
      <c r="AB70" s="47"/>
    </row>
    <row r="71" spans="1:28" ht="20" customHeight="1" x14ac:dyDescent="0.35">
      <c r="A71" s="47"/>
      <c r="B71" s="47"/>
      <c r="C71" s="53">
        <v>6</v>
      </c>
      <c r="D71" s="54" t="str">
        <f t="shared" ref="D71:L71" si="6">IFERROR(INDEX(D93:D104,MATCH(6,$N$93:$N$104,0)),"")</f>
        <v>Équipe 14</v>
      </c>
      <c r="E71" s="53" t="str">
        <f t="shared" si="6"/>
        <v>D</v>
      </c>
      <c r="F71" s="53">
        <f t="shared" si="6"/>
        <v>0</v>
      </c>
      <c r="G71" s="53">
        <f t="shared" si="6"/>
        <v>0</v>
      </c>
      <c r="H71" s="53">
        <f t="shared" si="6"/>
        <v>0</v>
      </c>
      <c r="I71" s="51">
        <f t="shared" si="6"/>
        <v>3</v>
      </c>
      <c r="J71" s="53">
        <f t="shared" si="6"/>
        <v>0</v>
      </c>
      <c r="K71" s="53">
        <f t="shared" si="6"/>
        <v>0</v>
      </c>
      <c r="L71" s="52">
        <f t="shared" si="6"/>
        <v>-2</v>
      </c>
      <c r="M71" s="47"/>
      <c r="N71" s="47"/>
      <c r="O71" s="47"/>
      <c r="P71" s="47"/>
      <c r="Q71" s="47"/>
      <c r="R71" s="47"/>
      <c r="S71" s="47"/>
      <c r="T71" s="47"/>
      <c r="U71" s="46" t="s">
        <v>22</v>
      </c>
      <c r="V71" s="115" t="s">
        <v>45</v>
      </c>
      <c r="W71" s="89"/>
      <c r="X71" s="89"/>
      <c r="Y71" s="89"/>
      <c r="Z71" s="89"/>
      <c r="AA71" s="90"/>
      <c r="AB71" s="47"/>
    </row>
    <row r="72" spans="1:28" ht="16" customHeight="1" x14ac:dyDescent="0.35">
      <c r="A72" s="47"/>
      <c r="B72" s="47"/>
      <c r="C72" s="79">
        <v>7</v>
      </c>
      <c r="D72" s="80" t="str">
        <f t="shared" ref="D72:L72" si="7">IFERROR(INDEX(D93:D104,MATCH(7,$N$93:$N$104,0)),"")</f>
        <v>Équipe 11</v>
      </c>
      <c r="E72" s="79" t="str">
        <f t="shared" si="7"/>
        <v>C</v>
      </c>
      <c r="F72" s="79">
        <f t="shared" si="7"/>
        <v>0</v>
      </c>
      <c r="G72" s="79">
        <f t="shared" si="7"/>
        <v>0</v>
      </c>
      <c r="H72" s="79">
        <f t="shared" si="7"/>
        <v>0</v>
      </c>
      <c r="I72" s="51">
        <f t="shared" si="7"/>
        <v>2</v>
      </c>
      <c r="J72" s="79">
        <f t="shared" si="7"/>
        <v>0</v>
      </c>
      <c r="K72" s="79">
        <f t="shared" si="7"/>
        <v>0</v>
      </c>
      <c r="L72" s="52">
        <f t="shared" si="7"/>
        <v>4</v>
      </c>
      <c r="M72" s="47"/>
      <c r="N72" s="47"/>
      <c r="O72" s="47"/>
      <c r="P72" s="47"/>
      <c r="Q72" s="47"/>
      <c r="R72" s="47"/>
      <c r="S72" s="47"/>
      <c r="T72" s="47"/>
      <c r="U72" s="46" t="s">
        <v>8</v>
      </c>
      <c r="V72" s="67" t="s">
        <v>32</v>
      </c>
      <c r="W72" s="67" t="s">
        <v>4</v>
      </c>
      <c r="X72" s="67" t="s">
        <v>33</v>
      </c>
      <c r="Y72" s="67"/>
      <c r="Z72" s="67"/>
      <c r="AA72" s="67"/>
      <c r="AB72" s="47"/>
    </row>
    <row r="73" spans="1:28" ht="18" customHeight="1" x14ac:dyDescent="0.35">
      <c r="A73" s="47"/>
      <c r="B73" s="47"/>
      <c r="C73" s="53">
        <v>8</v>
      </c>
      <c r="D73" s="54" t="str">
        <f t="shared" ref="D73:L73" si="8">IFERROR(INDEX(D93:D104,MATCH(8,$N$93:$N$104,0)),"")</f>
        <v>Équipe 9</v>
      </c>
      <c r="E73" s="53" t="str">
        <f t="shared" si="8"/>
        <v>C</v>
      </c>
      <c r="F73" s="53">
        <f t="shared" si="8"/>
        <v>0</v>
      </c>
      <c r="G73" s="53">
        <f t="shared" si="8"/>
        <v>0</v>
      </c>
      <c r="H73" s="53">
        <f t="shared" si="8"/>
        <v>0</v>
      </c>
      <c r="I73" s="51">
        <f t="shared" si="8"/>
        <v>2</v>
      </c>
      <c r="J73" s="53">
        <f t="shared" si="8"/>
        <v>0</v>
      </c>
      <c r="K73" s="53">
        <f t="shared" si="8"/>
        <v>0</v>
      </c>
      <c r="L73" s="52">
        <f t="shared" si="8"/>
        <v>1</v>
      </c>
      <c r="M73" s="47"/>
      <c r="N73" s="47"/>
      <c r="O73" s="47"/>
      <c r="P73" s="47"/>
      <c r="Q73" s="47"/>
      <c r="R73" s="47"/>
      <c r="S73" s="47"/>
      <c r="T73" s="47"/>
      <c r="U73" s="46" t="s">
        <v>8</v>
      </c>
      <c r="V73" s="68">
        <v>1</v>
      </c>
      <c r="W73" s="69" t="s">
        <v>49</v>
      </c>
      <c r="X73" s="70" t="s">
        <v>22</v>
      </c>
      <c r="Y73" s="68"/>
      <c r="Z73" s="68"/>
      <c r="AA73" s="68"/>
      <c r="AB73" s="47"/>
    </row>
    <row r="74" spans="1:28" ht="18" customHeight="1" x14ac:dyDescent="0.35">
      <c r="A74" s="47"/>
      <c r="B74" s="47"/>
      <c r="C74" s="79">
        <v>9</v>
      </c>
      <c r="D74" s="80" t="str">
        <f t="shared" ref="D74:L74" si="9">IFERROR(INDEX(D93:D104,MATCH(9,$N$93:$N$104,0)),"")</f>
        <v>Équipe 15</v>
      </c>
      <c r="E74" s="79" t="str">
        <f t="shared" si="9"/>
        <v>D</v>
      </c>
      <c r="F74" s="79">
        <f t="shared" si="9"/>
        <v>0</v>
      </c>
      <c r="G74" s="79">
        <f t="shared" si="9"/>
        <v>0</v>
      </c>
      <c r="H74" s="79">
        <f t="shared" si="9"/>
        <v>0</v>
      </c>
      <c r="I74" s="51">
        <f t="shared" si="9"/>
        <v>2</v>
      </c>
      <c r="J74" s="79">
        <f t="shared" si="9"/>
        <v>0</v>
      </c>
      <c r="K74" s="79">
        <f t="shared" si="9"/>
        <v>0</v>
      </c>
      <c r="L74" s="52">
        <f t="shared" si="9"/>
        <v>-1</v>
      </c>
      <c r="M74" s="47"/>
      <c r="N74" s="47"/>
      <c r="O74" s="47"/>
      <c r="P74" s="47"/>
      <c r="Q74" s="47"/>
      <c r="R74" s="47"/>
      <c r="S74" s="47"/>
      <c r="T74" s="47"/>
      <c r="U74" s="46" t="s">
        <v>23</v>
      </c>
      <c r="V74" s="60">
        <v>2</v>
      </c>
      <c r="W74" s="61" t="s">
        <v>54</v>
      </c>
      <c r="X74" s="62" t="s">
        <v>23</v>
      </c>
      <c r="Y74" s="60"/>
      <c r="Z74" s="60"/>
      <c r="AA74" s="60"/>
      <c r="AB74" s="47"/>
    </row>
    <row r="75" spans="1:28" ht="8.5" customHeight="1" x14ac:dyDescent="0.35">
      <c r="A75" s="47"/>
      <c r="B75" s="47"/>
      <c r="C75" s="96">
        <v>10</v>
      </c>
      <c r="D75" s="106" t="str">
        <f t="shared" ref="D75:L75" si="10">IFERROR(INDEX(D93:D104,MATCH(10,$N$93:$N$104,0)),"")</f>
        <v>Équipe 12</v>
      </c>
      <c r="E75" s="96" t="str">
        <f t="shared" si="10"/>
        <v>C</v>
      </c>
      <c r="F75" s="96">
        <f t="shared" si="10"/>
        <v>0</v>
      </c>
      <c r="G75" s="96">
        <f t="shared" si="10"/>
        <v>0</v>
      </c>
      <c r="H75" s="96">
        <f t="shared" si="10"/>
        <v>0</v>
      </c>
      <c r="I75" s="108">
        <f t="shared" si="10"/>
        <v>2</v>
      </c>
      <c r="J75" s="96">
        <f t="shared" si="10"/>
        <v>0</v>
      </c>
      <c r="K75" s="96">
        <f t="shared" si="10"/>
        <v>0</v>
      </c>
      <c r="L75" s="110">
        <f t="shared" si="10"/>
        <v>-11</v>
      </c>
      <c r="M75" s="47"/>
      <c r="N75" s="47"/>
      <c r="O75" s="47"/>
      <c r="P75" s="47"/>
      <c r="Q75" s="47"/>
      <c r="R75" s="47"/>
      <c r="S75" s="47"/>
      <c r="T75" s="47"/>
      <c r="U75" s="46" t="s">
        <v>23</v>
      </c>
      <c r="V75" s="68">
        <v>3</v>
      </c>
      <c r="W75" s="69" t="s">
        <v>52</v>
      </c>
      <c r="X75" s="70" t="s">
        <v>20</v>
      </c>
      <c r="Y75" s="68"/>
      <c r="Z75" s="68"/>
      <c r="AA75" s="68"/>
      <c r="AB75" s="47"/>
    </row>
    <row r="76" spans="1:28" ht="10.5" customHeight="1" x14ac:dyDescent="0.35">
      <c r="A76" s="47"/>
      <c r="B76" s="47"/>
      <c r="C76" s="97"/>
      <c r="D76" s="107"/>
      <c r="E76" s="97"/>
      <c r="F76" s="97"/>
      <c r="G76" s="97"/>
      <c r="H76" s="97"/>
      <c r="I76" s="109"/>
      <c r="J76" s="97"/>
      <c r="K76" s="97"/>
      <c r="L76" s="111"/>
      <c r="M76" s="47"/>
      <c r="N76" s="47"/>
      <c r="O76" s="47"/>
      <c r="P76" s="47"/>
      <c r="Q76" s="47"/>
      <c r="R76" s="47"/>
      <c r="S76" s="47"/>
      <c r="T76" s="47"/>
      <c r="V76" s="60">
        <v>4</v>
      </c>
      <c r="W76" s="61" t="s">
        <v>55</v>
      </c>
      <c r="X76" s="62" t="s">
        <v>8</v>
      </c>
      <c r="Y76" s="60"/>
      <c r="Z76" s="60"/>
      <c r="AA76" s="60"/>
      <c r="AB76" s="47"/>
    </row>
    <row r="77" spans="1:28" ht="18" customHeight="1" x14ac:dyDescent="0.35">
      <c r="A77" s="47"/>
      <c r="B77" s="47"/>
      <c r="C77" s="79">
        <v>11</v>
      </c>
      <c r="D77" s="80" t="str">
        <f t="shared" ref="D77:L77" si="11">IFERROR(INDEX(D93:D104,MATCH(11,$N$93:$N$104,0)),"")</f>
        <v>Équipe 4</v>
      </c>
      <c r="E77" s="79" t="str">
        <f t="shared" si="11"/>
        <v>A</v>
      </c>
      <c r="F77" s="79">
        <f t="shared" si="11"/>
        <v>0</v>
      </c>
      <c r="G77" s="79">
        <f t="shared" si="11"/>
        <v>0</v>
      </c>
      <c r="H77" s="79">
        <f t="shared" si="11"/>
        <v>0</v>
      </c>
      <c r="I77" s="51">
        <f t="shared" si="11"/>
        <v>1</v>
      </c>
      <c r="J77" s="79">
        <f t="shared" si="11"/>
        <v>0</v>
      </c>
      <c r="K77" s="79">
        <f t="shared" si="11"/>
        <v>0</v>
      </c>
      <c r="L77" s="52">
        <f t="shared" si="11"/>
        <v>-3</v>
      </c>
      <c r="M77" s="47"/>
      <c r="N77" s="47"/>
      <c r="O77" s="47"/>
      <c r="P77" s="47"/>
      <c r="Q77" s="47"/>
      <c r="R77" s="47"/>
      <c r="S77" s="47"/>
      <c r="T77" s="47"/>
      <c r="U77" s="46" t="str">
        <f>IFERROR(INDEX(O44:O48,MATCH(4,T44:T48,0)),"")</f>
        <v>D</v>
      </c>
      <c r="V77" s="47"/>
      <c r="W77" s="47"/>
      <c r="X77" s="47"/>
      <c r="Y77" s="47"/>
      <c r="Z77" s="47"/>
      <c r="AA77" s="47"/>
      <c r="AB77" s="47"/>
    </row>
    <row r="78" spans="1:28" ht="20" customHeight="1" x14ac:dyDescent="0.35">
      <c r="A78" s="47"/>
      <c r="B78" s="47"/>
      <c r="C78" s="53">
        <v>12</v>
      </c>
      <c r="D78" s="54" t="str">
        <f t="shared" ref="D78:L78" si="12">IFERROR(INDEX(D93:D104,MATCH(12,$N$93:$N$104,0)),"")</f>
        <v>Équipe 20</v>
      </c>
      <c r="E78" s="53" t="str">
        <f t="shared" si="12"/>
        <v>E</v>
      </c>
      <c r="F78" s="53">
        <f t="shared" si="12"/>
        <v>0</v>
      </c>
      <c r="G78" s="53">
        <f t="shared" si="12"/>
        <v>0</v>
      </c>
      <c r="H78" s="53">
        <f t="shared" si="12"/>
        <v>0</v>
      </c>
      <c r="I78" s="51">
        <f t="shared" si="12"/>
        <v>1</v>
      </c>
      <c r="J78" s="53">
        <f t="shared" si="12"/>
        <v>0</v>
      </c>
      <c r="K78" s="53">
        <f t="shared" si="12"/>
        <v>0</v>
      </c>
      <c r="L78" s="52">
        <f t="shared" si="12"/>
        <v>-12</v>
      </c>
      <c r="M78" s="47"/>
      <c r="N78" s="47"/>
      <c r="O78" s="47"/>
      <c r="P78" s="47"/>
      <c r="Q78" s="47"/>
      <c r="R78" s="47"/>
      <c r="S78" s="47"/>
      <c r="T78" s="47"/>
      <c r="U78" s="46" t="str">
        <f>IFERROR(INDEX(O44:O48,MATCH(5,T44:T48,0)),"")</f>
        <v>C</v>
      </c>
      <c r="V78" s="93" t="s">
        <v>50</v>
      </c>
      <c r="W78" s="89"/>
      <c r="X78" s="89"/>
      <c r="Y78" s="89"/>
      <c r="Z78" s="89"/>
      <c r="AA78" s="90"/>
      <c r="AB78" s="47"/>
    </row>
    <row r="79" spans="1:28" ht="16" customHeight="1" x14ac:dyDescent="0.3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V79" s="71" t="s">
        <v>32</v>
      </c>
      <c r="W79" s="71" t="s">
        <v>4</v>
      </c>
      <c r="X79" s="71" t="s">
        <v>33</v>
      </c>
      <c r="Y79" s="71"/>
      <c r="Z79" s="71"/>
      <c r="AA79" s="71"/>
      <c r="AB79" s="47"/>
    </row>
    <row r="80" spans="1:28" ht="18" customHeight="1" x14ac:dyDescent="0.35">
      <c r="A80" s="47"/>
      <c r="B80" s="47"/>
      <c r="C80" s="104" t="s">
        <v>51</v>
      </c>
      <c r="D80" s="100"/>
      <c r="E80" s="100"/>
      <c r="F80" s="100"/>
      <c r="G80" s="100"/>
      <c r="H80" s="100"/>
      <c r="I80" s="100"/>
      <c r="J80" s="100"/>
      <c r="K80" s="100"/>
      <c r="L80" s="101"/>
      <c r="M80" s="47"/>
      <c r="N80" s="47"/>
      <c r="O80" s="47"/>
      <c r="P80" s="47"/>
      <c r="Q80" s="47"/>
      <c r="R80" s="47"/>
      <c r="S80" s="47"/>
      <c r="T80" s="47"/>
      <c r="V80" s="72">
        <v>1</v>
      </c>
      <c r="W80" s="73" t="s">
        <v>46</v>
      </c>
      <c r="X80" s="74" t="s">
        <v>23</v>
      </c>
      <c r="Y80" s="72"/>
      <c r="Z80" s="72"/>
      <c r="AA80" s="72"/>
      <c r="AB80" s="47"/>
    </row>
    <row r="81" spans="1:28" ht="18" customHeight="1" x14ac:dyDescent="0.3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V81" s="60">
        <v>2</v>
      </c>
      <c r="W81" s="61" t="s">
        <v>57</v>
      </c>
      <c r="X81" s="62" t="s">
        <v>22</v>
      </c>
      <c r="Y81" s="60"/>
      <c r="Z81" s="60"/>
      <c r="AA81" s="60"/>
      <c r="AB81" s="47"/>
    </row>
    <row r="82" spans="1:28" ht="18" customHeight="1" x14ac:dyDescent="0.3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V82" s="72">
        <v>3</v>
      </c>
      <c r="W82" s="73" t="s">
        <v>42</v>
      </c>
      <c r="X82" s="74" t="s">
        <v>8</v>
      </c>
      <c r="Y82" s="72"/>
      <c r="Z82" s="72"/>
      <c r="AA82" s="72"/>
      <c r="AB82" s="47"/>
    </row>
    <row r="83" spans="1:28" ht="18" customHeight="1" x14ac:dyDescent="0.3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V83" s="60">
        <v>4</v>
      </c>
      <c r="W83" s="61" t="s">
        <v>48</v>
      </c>
      <c r="X83" s="62" t="s">
        <v>21</v>
      </c>
      <c r="Y83" s="60"/>
      <c r="Z83" s="60"/>
      <c r="AA83" s="60"/>
      <c r="AB83" s="47"/>
    </row>
    <row r="84" spans="1:28" x14ac:dyDescent="0.3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V84" s="47"/>
      <c r="W84" s="47"/>
      <c r="X84" s="47"/>
      <c r="Y84" s="47"/>
      <c r="Z84" s="47"/>
      <c r="AA84" s="47"/>
      <c r="AB84" s="47"/>
    </row>
    <row r="85" spans="1:28" hidden="1" x14ac:dyDescent="0.35">
      <c r="A85" s="47"/>
      <c r="B85" s="47"/>
      <c r="C85" s="47"/>
      <c r="D85" s="47" t="str">
        <f>IFERROR(INDEX(D6:D9,MATCH(1,N6:N9,0)),"")</f>
        <v>Équipe 1</v>
      </c>
      <c r="E85" s="47" t="s">
        <v>20</v>
      </c>
      <c r="F85" s="47"/>
      <c r="G85" s="47"/>
      <c r="H85" s="47"/>
      <c r="I85" s="47">
        <f>IFERROR(INDEX(I6:I9,MATCH(1,N6:N9,0)),"")</f>
        <v>4</v>
      </c>
      <c r="J85" s="47"/>
      <c r="K85" s="47"/>
      <c r="L85" s="47">
        <f>IFERROR(INDEX(L6:L9,MATCH(1,N6:N9,0)),"")</f>
        <v>2</v>
      </c>
      <c r="M85" s="47">
        <f t="shared" ref="M85:M104" si="13">I85*1000+L85</f>
        <v>4002</v>
      </c>
      <c r="N85" s="47">
        <f>RANK(M85,$M$85:$M$92,0)+COUNTIF($M$85:M85,M85)-1</f>
        <v>5</v>
      </c>
      <c r="O85" s="47"/>
      <c r="P85" s="47"/>
      <c r="Q85" s="47"/>
      <c r="R85" s="47"/>
      <c r="S85" s="47"/>
      <c r="T85" s="47"/>
      <c r="V85" s="126" t="s">
        <v>56</v>
      </c>
      <c r="W85" s="89"/>
      <c r="X85" s="89"/>
      <c r="Y85" s="89"/>
      <c r="Z85" s="89"/>
      <c r="AA85" s="90"/>
      <c r="AB85" s="47"/>
    </row>
    <row r="86" spans="1:28" hidden="1" x14ac:dyDescent="0.35">
      <c r="A86" s="47"/>
      <c r="B86" s="47"/>
      <c r="C86" s="47"/>
      <c r="D86" s="47" t="str">
        <f>IFERROR(INDEX(D13:D16,MATCH(1,N13:N16,0)),"")</f>
        <v>Équipe 5</v>
      </c>
      <c r="E86" s="47" t="s">
        <v>21</v>
      </c>
      <c r="F86" s="47"/>
      <c r="G86" s="47"/>
      <c r="H86" s="47"/>
      <c r="I86" s="47">
        <f>IFERROR(INDEX(I13:I16,MATCH(1,N13:N16,0)),"")</f>
        <v>3</v>
      </c>
      <c r="J86" s="47"/>
      <c r="K86" s="47"/>
      <c r="L86" s="47">
        <f>IFERROR(INDEX(L13:L16,MATCH(1,N13:N16,0)),"")</f>
        <v>0</v>
      </c>
      <c r="M86" s="47">
        <f t="shared" si="13"/>
        <v>3000</v>
      </c>
      <c r="N86" s="47">
        <f>RANK(M86,$M$85:$M$92,0)+COUNTIF($M$85:M86,M86)-1</f>
        <v>7</v>
      </c>
      <c r="O86" s="47"/>
      <c r="P86" s="47"/>
      <c r="Q86" s="47"/>
      <c r="R86" s="47"/>
      <c r="S86" s="47"/>
      <c r="T86" s="47"/>
      <c r="V86" s="75" t="s">
        <v>32</v>
      </c>
      <c r="W86" s="75" t="s">
        <v>4</v>
      </c>
      <c r="X86" s="75" t="s">
        <v>33</v>
      </c>
      <c r="Y86" s="75"/>
      <c r="Z86" s="75"/>
      <c r="AA86" s="75"/>
      <c r="AB86" s="47"/>
    </row>
    <row r="87" spans="1:28" hidden="1" x14ac:dyDescent="0.35">
      <c r="A87" s="47"/>
      <c r="B87" s="47"/>
      <c r="C87" s="47"/>
      <c r="D87" s="47" t="str">
        <f>IFERROR(INDEX(D20:D23,MATCH(1,N20:N23,0)),"")</f>
        <v>Équipe 10</v>
      </c>
      <c r="E87" s="47" t="s">
        <v>22</v>
      </c>
      <c r="F87" s="47"/>
      <c r="G87" s="47"/>
      <c r="H87" s="47"/>
      <c r="I87" s="47">
        <f>IFERROR(INDEX(I20:I23,MATCH(1,N20:N23,0)),"")</f>
        <v>6</v>
      </c>
      <c r="J87" s="47"/>
      <c r="K87" s="47"/>
      <c r="L87" s="47">
        <f>IFERROR(INDEX(L20:L23,MATCH(1,N20:N23,0)),"")</f>
        <v>6</v>
      </c>
      <c r="M87" s="47">
        <f t="shared" si="13"/>
        <v>6006</v>
      </c>
      <c r="N87" s="47">
        <f>RANK(M87,$M$85:$M$92,0)+COUNTIF($M$85:M87,M87)-1</f>
        <v>1</v>
      </c>
      <c r="O87" s="47"/>
      <c r="P87" s="47"/>
      <c r="Q87" s="47"/>
      <c r="R87" s="47"/>
      <c r="S87" s="47"/>
      <c r="T87" s="47"/>
      <c r="V87" s="76">
        <v>1</v>
      </c>
      <c r="W87" s="77" t="s">
        <v>47</v>
      </c>
      <c r="X87" s="78" t="s">
        <v>21</v>
      </c>
      <c r="Y87" s="76"/>
      <c r="Z87" s="76"/>
      <c r="AA87" s="76"/>
      <c r="AB87" s="47"/>
    </row>
    <row r="88" spans="1:28" hidden="1" x14ac:dyDescent="0.35">
      <c r="A88" s="47"/>
      <c r="B88" s="47"/>
      <c r="C88" s="47"/>
      <c r="D88" s="47" t="str">
        <f>IFERROR(INDEX(D27:D30,MATCH(1,N27:N30,0)),"")</f>
        <v>Équipe 13</v>
      </c>
      <c r="E88" s="47" t="s">
        <v>8</v>
      </c>
      <c r="F88" s="47"/>
      <c r="G88" s="47"/>
      <c r="H88" s="47"/>
      <c r="I88" s="47">
        <f>IFERROR(INDEX(I27:I30,MATCH(1,N27:N30,0)),"")</f>
        <v>4</v>
      </c>
      <c r="J88" s="47"/>
      <c r="K88" s="47"/>
      <c r="L88" s="47">
        <f>IFERROR(INDEX(L27:L30,MATCH(1,N27:N30,0)),"")</f>
        <v>4</v>
      </c>
      <c r="M88" s="47">
        <f t="shared" si="13"/>
        <v>4004</v>
      </c>
      <c r="N88" s="47">
        <f>RANK(M88,$M$85:$M$92,0)+COUNTIF($M$85:M88,M88)-1</f>
        <v>3</v>
      </c>
      <c r="O88" s="47"/>
      <c r="P88" s="47"/>
      <c r="Q88" s="47"/>
      <c r="R88" s="47"/>
      <c r="S88" s="47"/>
      <c r="T88" s="47"/>
      <c r="V88" s="60">
        <v>2</v>
      </c>
      <c r="W88" s="61" t="s">
        <v>59</v>
      </c>
      <c r="X88" s="62" t="s">
        <v>22</v>
      </c>
      <c r="Y88" s="60"/>
      <c r="Z88" s="60"/>
      <c r="AA88" s="60"/>
      <c r="AB88" s="47"/>
    </row>
    <row r="89" spans="1:28" hidden="1" x14ac:dyDescent="0.35">
      <c r="A89" s="47"/>
      <c r="B89" s="47"/>
      <c r="C89" s="47"/>
      <c r="D89" s="47" t="str">
        <f>IFERROR(INDEX(D34:D37,MATCH(1,N34:N37,0)),"")</f>
        <v>Équipe 19</v>
      </c>
      <c r="E89" s="47" t="s">
        <v>23</v>
      </c>
      <c r="F89" s="47"/>
      <c r="G89" s="47"/>
      <c r="H89" s="47"/>
      <c r="I89" s="47">
        <f>IFERROR(INDEX(I34:I37,MATCH(1,N34:N37,0)),"")</f>
        <v>4</v>
      </c>
      <c r="J89" s="47"/>
      <c r="K89" s="47"/>
      <c r="L89" s="47">
        <f>IFERROR(INDEX(L34:L37,MATCH(1,N34:N37,0)),"")</f>
        <v>10</v>
      </c>
      <c r="M89" s="47">
        <f t="shared" si="13"/>
        <v>4010</v>
      </c>
      <c r="N89" s="47">
        <f>RANK(M89,$M$85:$M$92,0)+COUNTIF($M$85:M89,M89)-1</f>
        <v>2</v>
      </c>
      <c r="O89" s="47"/>
      <c r="P89" s="47"/>
      <c r="Q89" s="47"/>
      <c r="R89" s="47"/>
      <c r="S89" s="47"/>
      <c r="T89" s="47"/>
      <c r="V89" s="76">
        <v>3</v>
      </c>
      <c r="W89" s="77" t="s">
        <v>58</v>
      </c>
      <c r="X89" s="78" t="s">
        <v>8</v>
      </c>
      <c r="Y89" s="76"/>
      <c r="Z89" s="76"/>
      <c r="AA89" s="76"/>
      <c r="AB89" s="47"/>
    </row>
    <row r="90" spans="1:28" hidden="1" x14ac:dyDescent="0.35">
      <c r="A90" s="47"/>
      <c r="B90" s="47"/>
      <c r="C90" s="47"/>
      <c r="D90" s="47" t="str">
        <f>IFERROR(INDEX(P44:P48,MATCH(1,T44:T48,0)),"")</f>
        <v>Équipe 17</v>
      </c>
      <c r="E90" s="47" t="str">
        <f>IFERROR(INDEX(O44:O48,MATCH(1,T44:T48,0)),"")</f>
        <v>E</v>
      </c>
      <c r="F90" s="47"/>
      <c r="G90" s="47"/>
      <c r="H90" s="47"/>
      <c r="I90" s="47">
        <f>IFERROR(INDEX(Q44:Q48,MATCH(1,T44:T48,0)),"")</f>
        <v>4</v>
      </c>
      <c r="J90" s="47"/>
      <c r="K90" s="47"/>
      <c r="L90" s="47">
        <f>IFERROR(INDEX(R44:R48,MATCH(1,T44:T48,0)),"")</f>
        <v>3</v>
      </c>
      <c r="M90" s="47">
        <f t="shared" si="13"/>
        <v>4003</v>
      </c>
      <c r="N90" s="47">
        <f>RANK(M90,$M$85:$M$92,0)+COUNTIF($M$85:M90,M90)-1</f>
        <v>4</v>
      </c>
      <c r="O90" s="47"/>
      <c r="P90" s="47"/>
      <c r="Q90" s="47"/>
      <c r="R90" s="47"/>
      <c r="S90" s="47"/>
      <c r="T90" s="47"/>
      <c r="V90" s="60">
        <v>4</v>
      </c>
      <c r="W90" s="61" t="s">
        <v>60</v>
      </c>
      <c r="X90" s="62" t="s">
        <v>20</v>
      </c>
      <c r="Y90" s="60"/>
      <c r="Z90" s="60"/>
      <c r="AA90" s="60"/>
      <c r="AB90" s="47"/>
    </row>
    <row r="91" spans="1:28" hidden="1" x14ac:dyDescent="0.35">
      <c r="A91" s="47"/>
      <c r="B91" s="47"/>
      <c r="C91" s="47"/>
      <c r="D91" s="47" t="str">
        <f>IFERROR(INDEX(P44:P48,MATCH(2,T44:T48,0)),"")</f>
        <v>Équipe 2</v>
      </c>
      <c r="E91" s="47" t="str">
        <f>IFERROR(INDEX(O44:O48,MATCH(2,T44:T48,0)),"")</f>
        <v>A</v>
      </c>
      <c r="F91" s="47"/>
      <c r="G91" s="47"/>
      <c r="H91" s="47"/>
      <c r="I91" s="47">
        <f>IFERROR(INDEX(Q44:Q48,MATCH(2,T44:T48,0)),"")</f>
        <v>4</v>
      </c>
      <c r="J91" s="47"/>
      <c r="K91" s="47"/>
      <c r="L91" s="47">
        <f>IFERROR(INDEX(R44:R48,MATCH(2,T44:T48,0)),"")</f>
        <v>1</v>
      </c>
      <c r="M91" s="47">
        <f t="shared" si="13"/>
        <v>4001</v>
      </c>
      <c r="N91" s="47">
        <f>RANK(M91,$M$85:$M$92,0)+COUNTIF($M$85:M91,M91)-1</f>
        <v>6</v>
      </c>
      <c r="O91" s="47"/>
      <c r="P91" s="47"/>
      <c r="Q91" s="47"/>
      <c r="R91" s="47"/>
      <c r="S91" s="47"/>
      <c r="T91" s="47"/>
      <c r="V91" s="47"/>
      <c r="W91" s="47"/>
      <c r="X91" s="47"/>
      <c r="Y91" s="47"/>
      <c r="Z91" s="47"/>
      <c r="AA91" s="47"/>
      <c r="AB91" s="47"/>
    </row>
    <row r="92" spans="1:28" hidden="1" x14ac:dyDescent="0.35">
      <c r="A92" s="47"/>
      <c r="B92" s="47"/>
      <c r="C92" s="47"/>
      <c r="D92" s="47" t="str">
        <f>IFERROR(INDEX(P44:P48,MATCH(3,T44:T48,0)),"")</f>
        <v>Équipe 6</v>
      </c>
      <c r="E92" s="47" t="str">
        <f>IFERROR(INDEX(O44:O48,MATCH(3,T44:T48,0)),"")</f>
        <v>B</v>
      </c>
      <c r="F92" s="47"/>
      <c r="G92" s="47"/>
      <c r="H92" s="47"/>
      <c r="I92" s="47">
        <f>IFERROR(INDEX(Q44:Q48,MATCH(3,T44:T48,0)),"")</f>
        <v>3</v>
      </c>
      <c r="J92" s="47"/>
      <c r="K92" s="47"/>
      <c r="L92" s="47">
        <f>IFERROR(INDEX(R44:R48,MATCH(3,T44:T48,0)),"")</f>
        <v>0</v>
      </c>
      <c r="M92" s="47">
        <f t="shared" si="13"/>
        <v>3000</v>
      </c>
      <c r="N92" s="47">
        <f>RANK(M92,$M$85:$M$92,0)+COUNTIF($M$85:M92,M92)-1</f>
        <v>8</v>
      </c>
      <c r="O92" s="47"/>
      <c r="P92" s="47"/>
      <c r="Q92" s="47"/>
      <c r="R92" s="47"/>
      <c r="S92" s="47"/>
      <c r="T92" s="47"/>
      <c r="V92" s="47"/>
      <c r="W92" s="47"/>
      <c r="X92" s="47"/>
      <c r="Y92" s="47"/>
      <c r="Z92" s="47"/>
      <c r="AA92" s="47"/>
      <c r="AB92" s="47"/>
    </row>
    <row r="93" spans="1:28" ht="14.5" hidden="1" customHeight="1" x14ac:dyDescent="0.35">
      <c r="A93" s="47"/>
      <c r="B93" s="47"/>
      <c r="C93" s="47"/>
      <c r="D93" s="47" t="str">
        <f>IFERROR(INDEX(D6:D9,MATCH(3,N6:N9,0)),"")</f>
        <v>Équipe 3</v>
      </c>
      <c r="E93" s="47" t="s">
        <v>20</v>
      </c>
      <c r="F93" s="47"/>
      <c r="G93" s="47"/>
      <c r="H93" s="47"/>
      <c r="I93" s="47">
        <f>IFERROR(INDEX(I6:I9,MATCH(3,N6:N9,0)),"")</f>
        <v>3</v>
      </c>
      <c r="J93" s="47"/>
      <c r="K93" s="47"/>
      <c r="L93" s="47">
        <f>IFERROR(INDEX(L6:L9,MATCH(3,N6:N9,0)),"")</f>
        <v>0</v>
      </c>
      <c r="M93" s="47">
        <f t="shared" si="13"/>
        <v>3000</v>
      </c>
      <c r="N93" s="47">
        <f>RANK(M93,$M$93:$M$104,0)+COUNTIF($M$93:M93,M93)-1</f>
        <v>1</v>
      </c>
      <c r="O93" s="47"/>
      <c r="P93" s="47"/>
      <c r="Q93" s="47"/>
      <c r="R93" s="47"/>
      <c r="S93" s="47"/>
      <c r="T93" s="47"/>
      <c r="V93" s="119"/>
      <c r="W93" s="89"/>
      <c r="X93" s="89"/>
      <c r="Y93" s="89"/>
      <c r="Z93" s="89"/>
      <c r="AA93" s="90"/>
      <c r="AB93" s="47"/>
    </row>
    <row r="94" spans="1:28" ht="14.5" hidden="1" customHeight="1" x14ac:dyDescent="0.35">
      <c r="A94" s="47"/>
      <c r="B94" s="47"/>
      <c r="C94" s="47"/>
      <c r="D94" s="47" t="str">
        <f>IFERROR(INDEX(D6:D9,MATCH(4,N6:N9,0)),"")</f>
        <v>Équipe 4</v>
      </c>
      <c r="E94" s="47" t="s">
        <v>20</v>
      </c>
      <c r="F94" s="47"/>
      <c r="G94" s="47"/>
      <c r="H94" s="47"/>
      <c r="I94" s="47">
        <f>IFERROR(INDEX(I6:I9,MATCH(4,N6:N9,0)),"")</f>
        <v>1</v>
      </c>
      <c r="J94" s="47"/>
      <c r="K94" s="47"/>
      <c r="L94" s="47">
        <f>IFERROR(INDEX(L6:L9,MATCH(4,N6:N9,0)),"")</f>
        <v>-3</v>
      </c>
      <c r="M94" s="47">
        <f t="shared" si="13"/>
        <v>997</v>
      </c>
      <c r="N94" s="47">
        <f>RANK(M94,$M$93:$M$104,0)+COUNTIF($M$93:M94,M94)-1</f>
        <v>11</v>
      </c>
      <c r="O94" s="47"/>
      <c r="P94" s="47"/>
      <c r="Q94" s="47"/>
      <c r="R94" s="47"/>
      <c r="S94" s="47"/>
      <c r="T94" s="47"/>
      <c r="V94" s="88"/>
      <c r="W94" s="89"/>
      <c r="X94" s="89"/>
      <c r="Y94" s="89"/>
      <c r="Z94" s="89"/>
      <c r="AA94" s="90"/>
      <c r="AB94" s="47"/>
    </row>
    <row r="95" spans="1:28" ht="14.5" hidden="1" customHeight="1" x14ac:dyDescent="0.35">
      <c r="A95" s="47"/>
      <c r="B95" s="47"/>
      <c r="C95" s="47"/>
      <c r="D95" s="47" t="str">
        <f>IFERROR(INDEX(D13:D16,MATCH(3,N13:N16,0)),"")</f>
        <v>Équipe 7</v>
      </c>
      <c r="E95" s="47" t="s">
        <v>21</v>
      </c>
      <c r="F95" s="47"/>
      <c r="G95" s="47"/>
      <c r="H95" s="47"/>
      <c r="I95" s="47">
        <f>IFERROR(INDEX(I13:I16,MATCH(3,N13:N16,0)),"")</f>
        <v>3</v>
      </c>
      <c r="J95" s="47"/>
      <c r="K95" s="47"/>
      <c r="L95" s="47">
        <f>IFERROR(INDEX(L13:L16,MATCH(3,N13:N16,0)),"")</f>
        <v>0</v>
      </c>
      <c r="M95" s="47">
        <f t="shared" si="13"/>
        <v>3000</v>
      </c>
      <c r="N95" s="47">
        <f>RANK(M95,$M$93:$M$104,0)+COUNTIF($M$93:M95,M95)-1</f>
        <v>2</v>
      </c>
      <c r="O95" s="47"/>
      <c r="P95" s="47"/>
      <c r="Q95" s="47"/>
      <c r="R95" s="47"/>
      <c r="S95" s="47"/>
      <c r="T95" s="47"/>
      <c r="V95" s="47"/>
      <c r="W95" s="47"/>
      <c r="X95" s="47"/>
      <c r="Y95" s="47"/>
      <c r="Z95" s="47"/>
      <c r="AA95" s="47"/>
      <c r="AB95" s="47"/>
    </row>
    <row r="96" spans="1:28" ht="14.5" hidden="1" customHeight="1" x14ac:dyDescent="0.35">
      <c r="A96" s="47"/>
      <c r="B96" s="47"/>
      <c r="C96" s="47"/>
      <c r="D96" s="47" t="str">
        <f>IFERROR(INDEX(D13:D16,MATCH(4,N13:N16,0)),"")</f>
        <v>Équipe 8</v>
      </c>
      <c r="E96" s="47" t="s">
        <v>21</v>
      </c>
      <c r="F96" s="47"/>
      <c r="G96" s="47"/>
      <c r="H96" s="47"/>
      <c r="I96" s="47">
        <f>IFERROR(INDEX(I13:I16,MATCH(4,N13:N16,0)),"")</f>
        <v>3</v>
      </c>
      <c r="J96" s="47"/>
      <c r="K96" s="47"/>
      <c r="L96" s="47">
        <f>IFERROR(INDEX(L13:L16,MATCH(4,N13:N16,0)),"")</f>
        <v>0</v>
      </c>
      <c r="M96" s="47">
        <f t="shared" si="13"/>
        <v>3000</v>
      </c>
      <c r="N96" s="47">
        <f>RANK(M96,$M$93:$M$104,0)+COUNTIF($M$93:M96,M96)-1</f>
        <v>3</v>
      </c>
      <c r="O96" s="47"/>
      <c r="P96" s="47"/>
      <c r="Q96" s="47"/>
      <c r="R96" s="47"/>
      <c r="S96" s="47"/>
      <c r="T96" s="47"/>
      <c r="V96" s="47"/>
      <c r="W96" s="47"/>
      <c r="X96" s="47"/>
      <c r="Y96" s="47"/>
      <c r="Z96" s="47"/>
      <c r="AA96" s="47"/>
      <c r="AB96" s="47"/>
    </row>
    <row r="97" spans="1:28" ht="14.5" hidden="1" customHeight="1" x14ac:dyDescent="0.35">
      <c r="A97" s="47"/>
      <c r="B97" s="47"/>
      <c r="C97" s="47"/>
      <c r="D97" s="47" t="str">
        <f>IFERROR(INDEX(D20:D23,MATCH(3,N20:N23,0)),"")</f>
        <v>Équipe 9</v>
      </c>
      <c r="E97" s="47" t="s">
        <v>22</v>
      </c>
      <c r="F97" s="47"/>
      <c r="G97" s="47"/>
      <c r="H97" s="47"/>
      <c r="I97" s="47">
        <f>IFERROR(INDEX(I20:I23,MATCH(3,N20:N23,0)),"")</f>
        <v>2</v>
      </c>
      <c r="J97" s="47"/>
      <c r="K97" s="47"/>
      <c r="L97" s="47">
        <f>IFERROR(INDEX(L20:L23,MATCH(3,N20:N23,0)),"")</f>
        <v>1</v>
      </c>
      <c r="M97" s="47">
        <f t="shared" si="13"/>
        <v>2001</v>
      </c>
      <c r="N97" s="47">
        <f>RANK(M97,$M$93:$M$104,0)+COUNTIF($M$93:M97,M97)-1</f>
        <v>8</v>
      </c>
      <c r="O97" s="47"/>
      <c r="P97" s="47"/>
      <c r="Q97" s="47"/>
      <c r="R97" s="47"/>
      <c r="S97" s="47"/>
      <c r="T97" s="47"/>
      <c r="V97" s="47"/>
      <c r="W97" s="47"/>
      <c r="X97" s="47"/>
      <c r="Y97" s="47"/>
      <c r="Z97" s="47"/>
      <c r="AA97" s="47"/>
      <c r="AB97" s="47"/>
    </row>
    <row r="98" spans="1:28" ht="14.5" hidden="1" customHeight="1" x14ac:dyDescent="0.35">
      <c r="A98" s="47"/>
      <c r="B98" s="47"/>
      <c r="C98" s="47"/>
      <c r="D98" s="47" t="str">
        <f>IFERROR(INDEX(D20:D23,MATCH(4,N20:N23,0)),"")</f>
        <v>Équipe 12</v>
      </c>
      <c r="E98" s="47" t="s">
        <v>22</v>
      </c>
      <c r="F98" s="47"/>
      <c r="G98" s="47"/>
      <c r="H98" s="47"/>
      <c r="I98" s="47">
        <f>IFERROR(INDEX(I20:I23,MATCH(4,N20:N23,0)),"")</f>
        <v>2</v>
      </c>
      <c r="J98" s="47"/>
      <c r="K98" s="47"/>
      <c r="L98" s="47">
        <f>IFERROR(INDEX(L20:L23,MATCH(4,N20:N23,0)),"")</f>
        <v>-11</v>
      </c>
      <c r="M98" s="47">
        <f t="shared" si="13"/>
        <v>1989</v>
      </c>
      <c r="N98" s="47">
        <f>RANK(M98,$M$93:$M$104,0)+COUNTIF($M$93:M98,M98)-1</f>
        <v>10</v>
      </c>
      <c r="O98" s="47"/>
      <c r="P98" s="47"/>
      <c r="Q98" s="47"/>
      <c r="R98" s="47"/>
      <c r="S98" s="47"/>
      <c r="T98" s="47"/>
      <c r="V98" s="47"/>
      <c r="W98" s="47"/>
      <c r="X98" s="47"/>
      <c r="Y98" s="47"/>
      <c r="Z98" s="47"/>
      <c r="AA98" s="47"/>
      <c r="AB98" s="47"/>
    </row>
    <row r="99" spans="1:28" ht="14.5" hidden="1" customHeight="1" x14ac:dyDescent="0.35">
      <c r="A99" s="47"/>
      <c r="B99" s="47"/>
      <c r="C99" s="47"/>
      <c r="D99" s="47" t="str">
        <f>IFERROR(INDEX(D27:D30,MATCH(3,N27:N30,0)),"")</f>
        <v>Équipe 14</v>
      </c>
      <c r="E99" s="47" t="s">
        <v>8</v>
      </c>
      <c r="F99" s="47"/>
      <c r="G99" s="47"/>
      <c r="H99" s="47"/>
      <c r="I99" s="47">
        <f>IFERROR(INDEX(I27:I30,MATCH(3,N27:N30,0)),"")</f>
        <v>3</v>
      </c>
      <c r="J99" s="47"/>
      <c r="K99" s="47"/>
      <c r="L99" s="47">
        <f>IFERROR(INDEX(L27:L30,MATCH(3,N27:N30,0)),"")</f>
        <v>-2</v>
      </c>
      <c r="M99" s="47">
        <f t="shared" si="13"/>
        <v>2998</v>
      </c>
      <c r="N99" s="47">
        <f>RANK(M99,$M$93:$M$104,0)+COUNTIF($M$93:M99,M99)-1</f>
        <v>6</v>
      </c>
      <c r="O99" s="47"/>
      <c r="P99" s="47"/>
      <c r="Q99" s="47"/>
      <c r="R99" s="47"/>
      <c r="S99" s="47"/>
      <c r="T99" s="47"/>
      <c r="V99" s="47"/>
      <c r="W99" s="47"/>
      <c r="X99" s="47"/>
      <c r="Y99" s="47"/>
      <c r="Z99" s="47"/>
      <c r="AA99" s="47"/>
      <c r="AB99" s="47"/>
    </row>
    <row r="100" spans="1:28" ht="14.5" hidden="1" customHeight="1" x14ac:dyDescent="0.35">
      <c r="A100" s="47"/>
      <c r="B100" s="47"/>
      <c r="C100" s="47"/>
      <c r="D100" s="47" t="str">
        <f>IFERROR(INDEX(D27:D30,MATCH(4,N27:N30,0)),"")</f>
        <v>Équipe 15</v>
      </c>
      <c r="E100" s="47" t="s">
        <v>8</v>
      </c>
      <c r="F100" s="47"/>
      <c r="G100" s="47"/>
      <c r="H100" s="47"/>
      <c r="I100" s="47">
        <f>IFERROR(INDEX(I27:I30,MATCH(4,N27:N30,0)),"")</f>
        <v>2</v>
      </c>
      <c r="J100" s="47"/>
      <c r="K100" s="47"/>
      <c r="L100" s="47">
        <f>IFERROR(INDEX(L27:L30,MATCH(4,N27:N30,0)),"")</f>
        <v>-1</v>
      </c>
      <c r="M100" s="47">
        <f t="shared" si="13"/>
        <v>1999</v>
      </c>
      <c r="N100" s="47">
        <f>RANK(M100,$M$93:$M$104,0)+COUNTIF($M$93:M100,M100)-1</f>
        <v>9</v>
      </c>
      <c r="O100" s="47"/>
      <c r="P100" s="47"/>
      <c r="Q100" s="47"/>
      <c r="R100" s="47"/>
      <c r="S100" s="47"/>
      <c r="T100" s="47"/>
      <c r="V100" s="47"/>
      <c r="W100" s="47"/>
      <c r="X100" s="47"/>
      <c r="Y100" s="47"/>
      <c r="Z100" s="47"/>
      <c r="AA100" s="47"/>
      <c r="AB100" s="47"/>
    </row>
    <row r="101" spans="1:28" ht="14.5" hidden="1" customHeight="1" x14ac:dyDescent="0.35">
      <c r="A101" s="47"/>
      <c r="B101" s="47"/>
      <c r="C101" s="47"/>
      <c r="D101" s="47" t="str">
        <f>IFERROR(INDEX(D34:D37,MATCH(3,N34:N37,0)),"")</f>
        <v>Équipe 18</v>
      </c>
      <c r="E101" s="47" t="s">
        <v>23</v>
      </c>
      <c r="F101" s="47"/>
      <c r="G101" s="47"/>
      <c r="H101" s="47"/>
      <c r="I101" s="47">
        <f>IFERROR(INDEX(I34:I37,MATCH(3,N34:N37,0)),"")</f>
        <v>3</v>
      </c>
      <c r="J101" s="47"/>
      <c r="K101" s="47"/>
      <c r="L101" s="47">
        <f>IFERROR(INDEX(L34:L37,MATCH(3,N34:N37,0)),"")</f>
        <v>-1</v>
      </c>
      <c r="M101" s="47">
        <f t="shared" si="13"/>
        <v>2999</v>
      </c>
      <c r="N101" s="47">
        <f>RANK(M101,$M$93:$M$104,0)+COUNTIF($M$93:M101,M101)-1</f>
        <v>4</v>
      </c>
      <c r="O101" s="47"/>
      <c r="P101" s="47"/>
      <c r="Q101" s="47"/>
      <c r="R101" s="47"/>
      <c r="S101" s="47"/>
      <c r="T101" s="47"/>
      <c r="V101" s="47"/>
      <c r="W101" s="47"/>
      <c r="X101" s="47"/>
      <c r="Y101" s="47"/>
      <c r="Z101" s="47"/>
      <c r="AA101" s="47"/>
      <c r="AB101" s="47"/>
    </row>
    <row r="102" spans="1:28" ht="14.5" hidden="1" customHeight="1" x14ac:dyDescent="0.35">
      <c r="A102" s="47"/>
      <c r="B102" s="47"/>
      <c r="C102" s="47"/>
      <c r="D102" s="47" t="str">
        <f>IFERROR(INDEX(D34:D37,MATCH(4,N34:N37,0)),"")</f>
        <v>Équipe 20</v>
      </c>
      <c r="E102" s="47" t="s">
        <v>23</v>
      </c>
      <c r="F102" s="47"/>
      <c r="G102" s="47"/>
      <c r="H102" s="47"/>
      <c r="I102" s="47">
        <f>IFERROR(INDEX(I34:I37,MATCH(4,N34:N37,0)),"")</f>
        <v>1</v>
      </c>
      <c r="J102" s="47"/>
      <c r="K102" s="47"/>
      <c r="L102" s="47">
        <f>IFERROR(INDEX(L34:L37,MATCH(4,N34:N37,0)),"")</f>
        <v>-12</v>
      </c>
      <c r="M102" s="47">
        <f t="shared" si="13"/>
        <v>988</v>
      </c>
      <c r="N102" s="47">
        <f>RANK(M102,$M$93:$M$104,0)+COUNTIF($M$93:M102,M102)-1</f>
        <v>12</v>
      </c>
      <c r="O102" s="47"/>
      <c r="P102" s="47"/>
      <c r="Q102" s="47"/>
      <c r="R102" s="47"/>
      <c r="S102" s="47"/>
      <c r="T102" s="47"/>
      <c r="V102" s="47"/>
      <c r="W102" s="47"/>
      <c r="X102" s="47"/>
      <c r="Y102" s="47"/>
      <c r="Z102" s="47"/>
      <c r="AA102" s="47"/>
      <c r="AB102" s="47"/>
    </row>
    <row r="103" spans="1:28" ht="14.5" hidden="1" customHeight="1" x14ac:dyDescent="0.35">
      <c r="A103" s="47"/>
      <c r="B103" s="47"/>
      <c r="C103" s="47"/>
      <c r="D103" s="47" t="str">
        <f>IFERROR(INDEX(P44:P48,MATCH(4,T44:T48,0)),"")</f>
        <v>Équipe 16</v>
      </c>
      <c r="E103" s="47" t="str">
        <f>IFERROR(INDEX(O44:O48,MATCH(4,T44:T48,0)),"")</f>
        <v>D</v>
      </c>
      <c r="F103" s="47"/>
      <c r="G103" s="47"/>
      <c r="H103" s="47"/>
      <c r="I103" s="47">
        <f>IFERROR(INDEX(Q44:Q48,MATCH(4,T44:T48,0)),"")</f>
        <v>3</v>
      </c>
      <c r="J103" s="47"/>
      <c r="K103" s="47"/>
      <c r="L103" s="47">
        <f>IFERROR(INDEX(R44:R48,MATCH(4,T44:T48,0)),"")</f>
        <v>-1</v>
      </c>
      <c r="M103" s="47">
        <f t="shared" si="13"/>
        <v>2999</v>
      </c>
      <c r="N103" s="47">
        <f>RANK(M103,$M$93:$M$104,0)+COUNTIF($M$93:M103,M103)-1</f>
        <v>5</v>
      </c>
      <c r="O103" s="47"/>
      <c r="P103" s="47"/>
      <c r="Q103" s="47"/>
      <c r="R103" s="47"/>
      <c r="S103" s="47"/>
      <c r="T103" s="47"/>
      <c r="V103" s="47"/>
      <c r="W103" s="47"/>
      <c r="X103" s="47"/>
      <c r="Y103" s="47"/>
      <c r="Z103" s="47"/>
      <c r="AA103" s="47"/>
      <c r="AB103" s="47"/>
    </row>
    <row r="104" spans="1:28" ht="14.5" hidden="1" customHeight="1" x14ac:dyDescent="0.35">
      <c r="A104" s="47"/>
      <c r="B104" s="47"/>
      <c r="C104" s="47"/>
      <c r="D104" s="47" t="str">
        <f>IFERROR(INDEX(P44:P48,MATCH(5,T44:T48,0)),"")</f>
        <v>Équipe 11</v>
      </c>
      <c r="E104" s="47" t="str">
        <f>IFERROR(INDEX(O44:O48,MATCH(5,T44:T48,0)),"")</f>
        <v>C</v>
      </c>
      <c r="F104" s="47"/>
      <c r="G104" s="47"/>
      <c r="H104" s="47"/>
      <c r="I104" s="47">
        <f>IFERROR(INDEX(Q44:Q48,MATCH(5,T44:T48,0)),"")</f>
        <v>2</v>
      </c>
      <c r="J104" s="47"/>
      <c r="K104" s="47"/>
      <c r="L104" s="47">
        <f>IFERROR(INDEX(R44:R48,MATCH(5,T44:T48,0)),"")</f>
        <v>4</v>
      </c>
      <c r="M104" s="47">
        <f t="shared" si="13"/>
        <v>2004</v>
      </c>
      <c r="N104" s="47">
        <f>RANK(M104,$M$93:$M$104,0)+COUNTIF($M$93:M104,M104)-1</f>
        <v>7</v>
      </c>
      <c r="O104" s="47"/>
      <c r="P104" s="47"/>
      <c r="Q104" s="47"/>
      <c r="R104" s="47"/>
      <c r="S104" s="47"/>
      <c r="T104" s="47"/>
      <c r="V104" s="47"/>
      <c r="W104" s="47"/>
      <c r="X104" s="47"/>
      <c r="Y104" s="47"/>
      <c r="Z104" s="47"/>
      <c r="AA104" s="47"/>
      <c r="AB104" s="47"/>
    </row>
    <row r="105" spans="1:28" x14ac:dyDescent="0.3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V105" s="47"/>
      <c r="W105" s="47"/>
      <c r="X105" s="47"/>
      <c r="Y105" s="47"/>
      <c r="Z105" s="47"/>
      <c r="AA105" s="47"/>
      <c r="AB105" s="47"/>
    </row>
    <row r="106" spans="1:28" x14ac:dyDescent="0.3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V106" s="47"/>
      <c r="W106" s="47"/>
      <c r="X106" s="47"/>
      <c r="Y106" s="47"/>
      <c r="Z106" s="47"/>
      <c r="AA106" s="47"/>
      <c r="AB106" s="47"/>
    </row>
    <row r="107" spans="1:28" x14ac:dyDescent="0.3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V107" s="47"/>
      <c r="W107" s="47"/>
      <c r="X107" s="47"/>
      <c r="Y107" s="47"/>
      <c r="Z107" s="47"/>
      <c r="AA107" s="47"/>
      <c r="AB107" s="47"/>
    </row>
    <row r="108" spans="1:28" x14ac:dyDescent="0.3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V108" s="47"/>
      <c r="W108" s="47"/>
      <c r="X108" s="47"/>
      <c r="Y108" s="47"/>
      <c r="Z108" s="47"/>
      <c r="AA108" s="47"/>
      <c r="AB108" s="47"/>
    </row>
    <row r="109" spans="1:28" x14ac:dyDescent="0.3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V109" s="47"/>
      <c r="W109" s="47"/>
      <c r="X109" s="47"/>
      <c r="Y109" s="47"/>
      <c r="Z109" s="47"/>
      <c r="AA109" s="47"/>
      <c r="AB109" s="47"/>
    </row>
    <row r="110" spans="1:28" x14ac:dyDescent="0.35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V110" s="47"/>
      <c r="W110" s="47"/>
      <c r="X110" s="47"/>
      <c r="Y110" s="47"/>
      <c r="Z110" s="47"/>
      <c r="AA110" s="47"/>
      <c r="AB110" s="47"/>
    </row>
    <row r="111" spans="1:28" x14ac:dyDescent="0.35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V111" s="47"/>
      <c r="W111" s="47"/>
      <c r="X111" s="47"/>
      <c r="Y111" s="47"/>
      <c r="Z111" s="47"/>
      <c r="AA111" s="47"/>
      <c r="AB111" s="47"/>
    </row>
    <row r="112" spans="1:28" x14ac:dyDescent="0.35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V112" s="47"/>
      <c r="W112" s="47"/>
      <c r="X112" s="47"/>
      <c r="Y112" s="47"/>
      <c r="Z112" s="47"/>
      <c r="AA112" s="47"/>
      <c r="AB112" s="47"/>
    </row>
    <row r="113" spans="1:28" x14ac:dyDescent="0.35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V113" s="47"/>
      <c r="W113" s="47"/>
      <c r="X113" s="47"/>
      <c r="Y113" s="47"/>
      <c r="Z113" s="47"/>
      <c r="AA113" s="47"/>
      <c r="AB113" s="47"/>
    </row>
    <row r="114" spans="1:28" x14ac:dyDescent="0.35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V114" s="47"/>
      <c r="W114" s="47"/>
      <c r="X114" s="47"/>
      <c r="Y114" s="47"/>
      <c r="Z114" s="47"/>
      <c r="AA114" s="47"/>
      <c r="AB114" s="47"/>
    </row>
    <row r="115" spans="1:28" x14ac:dyDescent="0.35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V115" s="47"/>
      <c r="W115" s="47"/>
      <c r="X115" s="47"/>
      <c r="Y115" s="47"/>
      <c r="Z115" s="47"/>
      <c r="AA115" s="47"/>
      <c r="AB115" s="47"/>
    </row>
    <row r="116" spans="1:28" x14ac:dyDescent="0.3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V116" s="47"/>
      <c r="W116" s="47"/>
      <c r="X116" s="47"/>
      <c r="Y116" s="47"/>
      <c r="Z116" s="47"/>
      <c r="AA116" s="47"/>
      <c r="AB116" s="47"/>
    </row>
    <row r="117" spans="1:28" x14ac:dyDescent="0.35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V117" s="47"/>
      <c r="W117" s="47"/>
      <c r="X117" s="47"/>
      <c r="Y117" s="47"/>
      <c r="Z117" s="47"/>
      <c r="AA117" s="47"/>
      <c r="AB117" s="47"/>
    </row>
    <row r="118" spans="1:28" x14ac:dyDescent="0.35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V118" s="47"/>
      <c r="W118" s="47"/>
      <c r="X118" s="47"/>
      <c r="Y118" s="47"/>
      <c r="Z118" s="47"/>
      <c r="AA118" s="47"/>
      <c r="AB118" s="47"/>
    </row>
    <row r="119" spans="1:28" x14ac:dyDescent="0.35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V119" s="47"/>
      <c r="W119" s="47"/>
      <c r="X119" s="47"/>
      <c r="Y119" s="47"/>
      <c r="Z119" s="47"/>
      <c r="AA119" s="47"/>
      <c r="AB119" s="47"/>
    </row>
    <row r="120" spans="1:28" x14ac:dyDescent="0.3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V120" s="47"/>
      <c r="W120" s="47"/>
      <c r="X120" s="47"/>
      <c r="Y120" s="47"/>
      <c r="Z120" s="47"/>
      <c r="AA120" s="47"/>
      <c r="AB120" s="47"/>
    </row>
    <row r="121" spans="1:28" x14ac:dyDescent="0.3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V121" s="47"/>
      <c r="W121" s="47"/>
      <c r="X121" s="47"/>
      <c r="Y121" s="47"/>
      <c r="Z121" s="47"/>
      <c r="AA121" s="47"/>
      <c r="AB121" s="47"/>
    </row>
    <row r="122" spans="1:28" x14ac:dyDescent="0.35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V122" s="47"/>
      <c r="W122" s="47"/>
      <c r="X122" s="47"/>
      <c r="Y122" s="47"/>
      <c r="Z122" s="47"/>
      <c r="AA122" s="47"/>
      <c r="AB122" s="47"/>
    </row>
    <row r="123" spans="1:28" x14ac:dyDescent="0.35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V123" s="47"/>
      <c r="W123" s="47"/>
      <c r="X123" s="47"/>
      <c r="Y123" s="47"/>
      <c r="Z123" s="47"/>
      <c r="AA123" s="47"/>
      <c r="AB123" s="47"/>
    </row>
    <row r="124" spans="1:28" x14ac:dyDescent="0.35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V124" s="47"/>
      <c r="W124" s="47"/>
      <c r="X124" s="47"/>
      <c r="Y124" s="47"/>
      <c r="Z124" s="47"/>
      <c r="AA124" s="47"/>
      <c r="AB124" s="47"/>
    </row>
    <row r="125" spans="1:28" x14ac:dyDescent="0.3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V125" s="47"/>
      <c r="W125" s="47"/>
      <c r="X125" s="47"/>
      <c r="Y125" s="47"/>
      <c r="Z125" s="47"/>
      <c r="AA125" s="47"/>
      <c r="AB125" s="47"/>
    </row>
    <row r="126" spans="1:28" x14ac:dyDescent="0.3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V126" s="47"/>
      <c r="W126" s="47"/>
      <c r="X126" s="47"/>
      <c r="Y126" s="47"/>
      <c r="Z126" s="47"/>
      <c r="AA126" s="47"/>
      <c r="AB126" s="47"/>
    </row>
    <row r="127" spans="1:28" x14ac:dyDescent="0.3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V127" s="47"/>
      <c r="W127" s="47"/>
      <c r="X127" s="47"/>
      <c r="Y127" s="47"/>
      <c r="Z127" s="47"/>
      <c r="AA127" s="47"/>
      <c r="AB127" s="47"/>
    </row>
    <row r="128" spans="1:28" x14ac:dyDescent="0.3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V128" s="47"/>
      <c r="W128" s="47"/>
      <c r="X128" s="47"/>
      <c r="Y128" s="47"/>
      <c r="Z128" s="47"/>
      <c r="AA128" s="47"/>
      <c r="AB128" s="47"/>
    </row>
    <row r="129" spans="1:28" x14ac:dyDescent="0.3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V129" s="47"/>
      <c r="W129" s="47"/>
      <c r="X129" s="47"/>
      <c r="Y129" s="47"/>
      <c r="Z129" s="47"/>
      <c r="AA129" s="47"/>
      <c r="AB129" s="47"/>
    </row>
    <row r="130" spans="1:28" x14ac:dyDescent="0.3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V130" s="47"/>
      <c r="W130" s="47"/>
      <c r="X130" s="47"/>
      <c r="Y130" s="47"/>
      <c r="Z130" s="47"/>
      <c r="AA130" s="47"/>
      <c r="AB130" s="47"/>
    </row>
  </sheetData>
  <mergeCells count="36">
    <mergeCell ref="V70:AA70"/>
    <mergeCell ref="C42:L42"/>
    <mergeCell ref="V50:AA50"/>
    <mergeCell ref="V85:AA85"/>
    <mergeCell ref="C1:L1"/>
    <mergeCell ref="C50:L50"/>
    <mergeCell ref="C25:L25"/>
    <mergeCell ref="C41:L41"/>
    <mergeCell ref="C80:L80"/>
    <mergeCell ref="C40:L40"/>
    <mergeCell ref="D75:D76"/>
    <mergeCell ref="E75:E76"/>
    <mergeCell ref="F75:F76"/>
    <mergeCell ref="G75:G76"/>
    <mergeCell ref="H75:H76"/>
    <mergeCell ref="I75:I76"/>
    <mergeCell ref="J75:J76"/>
    <mergeCell ref="K75:K76"/>
    <mergeCell ref="L75:L76"/>
    <mergeCell ref="C4:L4"/>
    <mergeCell ref="V94:AA94"/>
    <mergeCell ref="C2:L2"/>
    <mergeCell ref="V78:AA78"/>
    <mergeCell ref="C11:L11"/>
    <mergeCell ref="C75:C76"/>
    <mergeCell ref="C64:L64"/>
    <mergeCell ref="V62:AA62"/>
    <mergeCell ref="V71:AA71"/>
    <mergeCell ref="V55:AA55"/>
    <mergeCell ref="V52:AA52"/>
    <mergeCell ref="C52:L52"/>
    <mergeCell ref="V93:AA93"/>
    <mergeCell ref="C32:L32"/>
    <mergeCell ref="V51:AA51"/>
    <mergeCell ref="C18:L18"/>
    <mergeCell ref="V54:AA54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C1:O55"/>
  <sheetViews>
    <sheetView topLeftCell="A2" zoomScaleNormal="100" workbookViewId="0">
      <selection activeCell="H8" sqref="H8"/>
    </sheetView>
  </sheetViews>
  <sheetFormatPr baseColWidth="10" defaultColWidth="8.6328125" defaultRowHeight="14.5" x14ac:dyDescent="0.35"/>
  <cols>
    <col min="2" max="2" width="3" customWidth="1"/>
    <col min="3" max="3" width="5" customWidth="1"/>
    <col min="4" max="4" width="22" customWidth="1"/>
    <col min="5" max="5" width="9.54296875" customWidth="1"/>
    <col min="6" max="6" width="9.6328125" customWidth="1"/>
    <col min="7" max="7" width="11.54296875" customWidth="1"/>
    <col min="8" max="8" width="10.26953125" customWidth="1"/>
    <col min="9" max="9" width="22" customWidth="1"/>
    <col min="10" max="11" width="8" customWidth="1"/>
    <col min="12" max="12" width="22" customWidth="1"/>
    <col min="13" max="13" width="10" customWidth="1"/>
  </cols>
  <sheetData>
    <row r="1" spans="3:13" ht="34.5" customHeight="1" x14ac:dyDescent="0.35">
      <c r="C1" s="98" t="s">
        <v>114</v>
      </c>
      <c r="D1" s="95"/>
      <c r="E1" s="95"/>
      <c r="F1" s="95"/>
      <c r="G1" s="95"/>
      <c r="H1" s="95"/>
      <c r="I1" s="95"/>
      <c r="J1" s="95"/>
      <c r="K1" s="95"/>
      <c r="L1" s="95"/>
      <c r="M1" s="95"/>
    </row>
    <row r="2" spans="3:13" ht="34.5" customHeight="1" x14ac:dyDescent="0.35">
      <c r="C2" s="91" t="s">
        <v>115</v>
      </c>
      <c r="D2" s="92"/>
      <c r="E2" s="92"/>
      <c r="F2" s="92"/>
      <c r="G2" s="92"/>
      <c r="H2" s="92"/>
      <c r="I2" s="92"/>
      <c r="J2" s="92"/>
      <c r="K2" s="92"/>
      <c r="L2" s="92"/>
      <c r="M2" s="92"/>
    </row>
    <row r="4" spans="3:13" ht="24.75" customHeight="1" x14ac:dyDescent="0.35">
      <c r="C4" s="112" t="s">
        <v>116</v>
      </c>
      <c r="D4" s="95"/>
      <c r="E4" s="95"/>
      <c r="F4" s="95"/>
      <c r="G4" s="95"/>
      <c r="H4" s="95"/>
      <c r="I4" s="95"/>
      <c r="J4" s="95"/>
      <c r="K4" s="95"/>
      <c r="L4" s="95"/>
      <c r="M4" s="95"/>
    </row>
    <row r="5" spans="3:13" ht="19.5" customHeight="1" x14ac:dyDescent="0.35">
      <c r="D5" s="3" t="s">
        <v>117</v>
      </c>
      <c r="E5" s="143" t="s">
        <v>118</v>
      </c>
      <c r="F5" s="95"/>
      <c r="G5" s="95"/>
      <c r="H5" s="95"/>
      <c r="I5" s="95"/>
      <c r="J5" s="95"/>
      <c r="K5" s="95"/>
      <c r="L5" s="95"/>
      <c r="M5" s="95"/>
    </row>
    <row r="6" spans="3:13" ht="19.5" customHeight="1" x14ac:dyDescent="0.35">
      <c r="D6" s="35" t="s">
        <v>119</v>
      </c>
      <c r="E6" s="141" t="str">
        <f>'Classement Phase 1'!W57</f>
        <v>Équipe 10</v>
      </c>
      <c r="F6" s="95"/>
      <c r="G6" s="95"/>
    </row>
    <row r="7" spans="3:13" ht="19.5" customHeight="1" x14ac:dyDescent="0.35">
      <c r="D7" s="35" t="s">
        <v>120</v>
      </c>
      <c r="E7" s="141" t="str">
        <f>'Classement Phase 1'!W58</f>
        <v>Équipe 1</v>
      </c>
      <c r="F7" s="95"/>
      <c r="G7" s="95"/>
    </row>
    <row r="8" spans="3:13" ht="19.5" customHeight="1" x14ac:dyDescent="0.35">
      <c r="D8" s="35" t="s">
        <v>121</v>
      </c>
      <c r="E8" s="141" t="str">
        <f>'Classement Phase 1'!W59</f>
        <v>Équipe 19</v>
      </c>
      <c r="F8" s="95"/>
      <c r="G8" s="95"/>
    </row>
    <row r="9" spans="3:13" ht="19.5" customHeight="1" x14ac:dyDescent="0.35">
      <c r="D9" s="35" t="s">
        <v>122</v>
      </c>
      <c r="E9" s="141" t="str">
        <f>'Classement Phase 1'!W60</f>
        <v>Équipe 6</v>
      </c>
      <c r="F9" s="95"/>
      <c r="G9" s="95"/>
    </row>
    <row r="11" spans="3:13" ht="21.75" customHeight="1" x14ac:dyDescent="0.35">
      <c r="D11" s="3" t="s">
        <v>98</v>
      </c>
      <c r="E11" s="3" t="s">
        <v>123</v>
      </c>
      <c r="F11" s="3" t="s">
        <v>99</v>
      </c>
      <c r="G11" s="3" t="s">
        <v>100</v>
      </c>
      <c r="H11" s="3" t="s">
        <v>124</v>
      </c>
      <c r="I11" s="3"/>
      <c r="J11" s="3"/>
      <c r="K11" s="3"/>
      <c r="L11" s="3"/>
      <c r="M11" s="3"/>
    </row>
    <row r="12" spans="3:13" ht="21.75" customHeight="1" x14ac:dyDescent="0.35">
      <c r="D12" s="19" t="s">
        <v>125</v>
      </c>
      <c r="E12" s="22" t="str">
        <f>E6</f>
        <v>Équipe 10</v>
      </c>
      <c r="F12" s="23">
        <v>0</v>
      </c>
      <c r="G12" s="23">
        <v>0</v>
      </c>
      <c r="H12" s="22" t="str">
        <f>E7</f>
        <v>Équipe 1</v>
      </c>
    </row>
    <row r="13" spans="3:13" ht="21.75" customHeight="1" x14ac:dyDescent="0.35">
      <c r="D13" s="33" t="s">
        <v>126</v>
      </c>
      <c r="E13" s="36" t="str">
        <f>E8</f>
        <v>Équipe 19</v>
      </c>
      <c r="F13" s="23">
        <v>0</v>
      </c>
      <c r="G13" s="23">
        <v>0</v>
      </c>
      <c r="H13" s="36" t="str">
        <f>E9</f>
        <v>Équipe 6</v>
      </c>
    </row>
    <row r="14" spans="3:13" ht="21.75" customHeight="1" x14ac:dyDescent="0.35">
      <c r="D14" s="19" t="s">
        <v>127</v>
      </c>
      <c r="E14" s="22" t="str">
        <f>E6</f>
        <v>Équipe 10</v>
      </c>
      <c r="F14" s="23">
        <v>0</v>
      </c>
      <c r="G14" s="23">
        <v>0</v>
      </c>
      <c r="H14" s="22" t="str">
        <f>E8</f>
        <v>Équipe 19</v>
      </c>
    </row>
    <row r="15" spans="3:13" ht="21.75" customHeight="1" x14ac:dyDescent="0.35">
      <c r="D15" s="33" t="s">
        <v>128</v>
      </c>
      <c r="E15" s="36" t="str">
        <f>E7</f>
        <v>Équipe 1</v>
      </c>
      <c r="F15" s="23">
        <v>0</v>
      </c>
      <c r="G15" s="23">
        <v>0</v>
      </c>
      <c r="H15" s="36" t="str">
        <f>E9</f>
        <v>Équipe 6</v>
      </c>
    </row>
    <row r="16" spans="3:13" ht="21.75" customHeight="1" x14ac:dyDescent="0.35">
      <c r="D16" s="19" t="s">
        <v>129</v>
      </c>
      <c r="E16" s="22" t="str">
        <f>E6</f>
        <v>Équipe 10</v>
      </c>
      <c r="F16" s="23">
        <v>0</v>
      </c>
      <c r="G16" s="23">
        <v>0</v>
      </c>
      <c r="H16" s="22" t="str">
        <f>E9</f>
        <v>Équipe 6</v>
      </c>
    </row>
    <row r="17" spans="3:13" ht="21.75" customHeight="1" x14ac:dyDescent="0.35">
      <c r="D17" s="33" t="s">
        <v>130</v>
      </c>
      <c r="E17" s="36" t="str">
        <f>E7</f>
        <v>Équipe 1</v>
      </c>
      <c r="F17" s="23">
        <v>0</v>
      </c>
      <c r="G17" s="23">
        <v>0</v>
      </c>
      <c r="H17" s="36" t="str">
        <f>E8</f>
        <v>Équipe 19</v>
      </c>
    </row>
    <row r="19" spans="3:13" ht="21.75" customHeight="1" x14ac:dyDescent="0.35">
      <c r="D19" s="3" t="s">
        <v>131</v>
      </c>
      <c r="E19" s="142"/>
      <c r="F19" s="92"/>
      <c r="G19" s="92"/>
      <c r="H19" s="92"/>
      <c r="I19" s="92"/>
      <c r="J19" s="92"/>
      <c r="K19" s="92"/>
      <c r="L19" s="92"/>
      <c r="M19" s="92"/>
    </row>
    <row r="20" spans="3:13" ht="21.75" customHeight="1" x14ac:dyDescent="0.35">
      <c r="D20" s="3" t="s">
        <v>3</v>
      </c>
      <c r="E20" s="3" t="s">
        <v>4</v>
      </c>
      <c r="F20" s="3" t="s">
        <v>5</v>
      </c>
      <c r="G20" s="3" t="s">
        <v>6</v>
      </c>
      <c r="H20" s="3" t="s">
        <v>7</v>
      </c>
      <c r="I20" s="3" t="s">
        <v>8</v>
      </c>
      <c r="J20" s="3" t="s">
        <v>9</v>
      </c>
      <c r="K20" s="3" t="s">
        <v>10</v>
      </c>
      <c r="L20" s="3" t="s">
        <v>11</v>
      </c>
      <c r="M20" s="3" t="s">
        <v>12</v>
      </c>
    </row>
    <row r="21" spans="3:13" ht="21.75" customHeight="1" x14ac:dyDescent="0.35">
      <c r="D21" s="19">
        <v>1</v>
      </c>
      <c r="E21" s="22" t="str">
        <f t="shared" ref="E21:M21" si="0">IFERROR(INDEX(E48:E51,MATCH(1,$O$48:$O$51,0)),"")</f>
        <v>Équipe 10</v>
      </c>
      <c r="F21" s="27">
        <f t="shared" si="0"/>
        <v>3</v>
      </c>
      <c r="G21" s="27">
        <f t="shared" si="0"/>
        <v>0</v>
      </c>
      <c r="H21" s="27">
        <f t="shared" si="0"/>
        <v>3</v>
      </c>
      <c r="I21" s="27">
        <f t="shared" si="0"/>
        <v>0</v>
      </c>
      <c r="J21" s="28">
        <f t="shared" si="0"/>
        <v>3</v>
      </c>
      <c r="K21" s="27">
        <f t="shared" si="0"/>
        <v>0</v>
      </c>
      <c r="L21" s="27">
        <f t="shared" si="0"/>
        <v>0</v>
      </c>
      <c r="M21" s="29">
        <f t="shared" si="0"/>
        <v>0</v>
      </c>
    </row>
    <row r="22" spans="3:13" ht="21.75" customHeight="1" x14ac:dyDescent="0.35">
      <c r="D22" s="33">
        <v>2</v>
      </c>
      <c r="E22" s="36" t="str">
        <f t="shared" ref="E22:M22" si="1">IFERROR(INDEX(E48:E51,MATCH(2,$O$48:$O$51,0)),"")</f>
        <v>Équipe 1</v>
      </c>
      <c r="F22" s="37">
        <f t="shared" si="1"/>
        <v>3</v>
      </c>
      <c r="G22" s="37">
        <f t="shared" si="1"/>
        <v>0</v>
      </c>
      <c r="H22" s="37">
        <f t="shared" si="1"/>
        <v>3</v>
      </c>
      <c r="I22" s="37">
        <f t="shared" si="1"/>
        <v>0</v>
      </c>
      <c r="J22" s="28">
        <f t="shared" si="1"/>
        <v>3</v>
      </c>
      <c r="K22" s="37">
        <f t="shared" si="1"/>
        <v>0</v>
      </c>
      <c r="L22" s="37">
        <f t="shared" si="1"/>
        <v>0</v>
      </c>
      <c r="M22" s="29">
        <f t="shared" si="1"/>
        <v>0</v>
      </c>
    </row>
    <row r="23" spans="3:13" ht="21.75" customHeight="1" x14ac:dyDescent="0.35">
      <c r="D23" s="19">
        <v>3</v>
      </c>
      <c r="E23" s="22" t="str">
        <f t="shared" ref="E23:M23" si="2">IFERROR(INDEX(E48:E51,MATCH(3,$O$48:$O$51,0)),"")</f>
        <v>Équipe 19</v>
      </c>
      <c r="F23" s="27">
        <f t="shared" si="2"/>
        <v>3</v>
      </c>
      <c r="G23" s="27">
        <f t="shared" si="2"/>
        <v>0</v>
      </c>
      <c r="H23" s="27">
        <f t="shared" si="2"/>
        <v>3</v>
      </c>
      <c r="I23" s="27">
        <f t="shared" si="2"/>
        <v>0</v>
      </c>
      <c r="J23" s="28">
        <f t="shared" si="2"/>
        <v>3</v>
      </c>
      <c r="K23" s="27">
        <f t="shared" si="2"/>
        <v>0</v>
      </c>
      <c r="L23" s="27">
        <f t="shared" si="2"/>
        <v>0</v>
      </c>
      <c r="M23" s="29">
        <f t="shared" si="2"/>
        <v>0</v>
      </c>
    </row>
    <row r="24" spans="3:13" ht="21.75" customHeight="1" x14ac:dyDescent="0.35">
      <c r="D24" s="33">
        <v>4</v>
      </c>
      <c r="E24" s="36" t="str">
        <f t="shared" ref="E24:M24" si="3">IFERROR(INDEX(E48:E51,MATCH(4,$O$48:$O$51,0)),"")</f>
        <v>Équipe 6</v>
      </c>
      <c r="F24" s="37">
        <f t="shared" si="3"/>
        <v>3</v>
      </c>
      <c r="G24" s="37">
        <f t="shared" si="3"/>
        <v>0</v>
      </c>
      <c r="H24" s="37">
        <f t="shared" si="3"/>
        <v>3</v>
      </c>
      <c r="I24" s="37">
        <f t="shared" si="3"/>
        <v>0</v>
      </c>
      <c r="J24" s="28">
        <f t="shared" si="3"/>
        <v>3</v>
      </c>
      <c r="K24" s="37">
        <f t="shared" si="3"/>
        <v>0</v>
      </c>
      <c r="L24" s="37">
        <f t="shared" si="3"/>
        <v>0</v>
      </c>
      <c r="M24" s="29">
        <f t="shared" si="3"/>
        <v>0</v>
      </c>
    </row>
    <row r="27" spans="3:13" ht="24.75" customHeight="1" x14ac:dyDescent="0.35">
      <c r="C27" s="112" t="s">
        <v>132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</row>
    <row r="28" spans="3:13" ht="19.5" customHeight="1" x14ac:dyDescent="0.35">
      <c r="D28" s="3" t="s">
        <v>117</v>
      </c>
      <c r="E28" s="143" t="s">
        <v>118</v>
      </c>
      <c r="F28" s="95"/>
      <c r="G28" s="95"/>
      <c r="H28" s="95"/>
      <c r="I28" s="95"/>
      <c r="J28" s="95"/>
      <c r="K28" s="95"/>
      <c r="L28" s="95"/>
      <c r="M28" s="95"/>
    </row>
    <row r="29" spans="3:13" ht="19.5" customHeight="1" x14ac:dyDescent="0.35">
      <c r="D29" s="35" t="s">
        <v>133</v>
      </c>
      <c r="E29" s="141" t="str">
        <f>'Classement Phase 1'!W64</f>
        <v>Équipe 17</v>
      </c>
      <c r="F29" s="95"/>
      <c r="G29" s="95"/>
    </row>
    <row r="30" spans="3:13" ht="19.5" customHeight="1" x14ac:dyDescent="0.35">
      <c r="D30" s="35" t="s">
        <v>134</v>
      </c>
      <c r="E30" s="141" t="str">
        <f>'Classement Phase 1'!W65</f>
        <v>Équipe 5</v>
      </c>
      <c r="F30" s="95"/>
      <c r="G30" s="95"/>
    </row>
    <row r="31" spans="3:13" ht="19.5" customHeight="1" x14ac:dyDescent="0.35">
      <c r="D31" s="35" t="s">
        <v>135</v>
      </c>
      <c r="E31" s="141" t="str">
        <f>'Classement Phase 1'!W66</f>
        <v>Équipe 13</v>
      </c>
      <c r="F31" s="95"/>
      <c r="G31" s="95"/>
    </row>
    <row r="32" spans="3:13" ht="19.5" customHeight="1" x14ac:dyDescent="0.35">
      <c r="D32" s="35" t="s">
        <v>136</v>
      </c>
      <c r="E32" s="141" t="str">
        <f>'Classement Phase 1'!W67</f>
        <v>Équipe 2</v>
      </c>
      <c r="F32" s="95"/>
      <c r="G32" s="95"/>
    </row>
    <row r="34" spans="4:15" ht="21.75" customHeight="1" x14ac:dyDescent="0.35">
      <c r="D34" s="3" t="s">
        <v>98</v>
      </c>
      <c r="E34" s="3" t="s">
        <v>123</v>
      </c>
      <c r="F34" s="3" t="s">
        <v>99</v>
      </c>
      <c r="G34" s="3" t="s">
        <v>100</v>
      </c>
      <c r="H34" s="3" t="s">
        <v>124</v>
      </c>
      <c r="I34" s="3"/>
      <c r="J34" s="3"/>
      <c r="K34" s="3"/>
      <c r="L34" s="3"/>
      <c r="M34" s="3"/>
    </row>
    <row r="35" spans="4:15" ht="21.75" customHeight="1" x14ac:dyDescent="0.35">
      <c r="D35" s="19" t="s">
        <v>125</v>
      </c>
      <c r="E35" s="22" t="str">
        <f>E29</f>
        <v>Équipe 17</v>
      </c>
      <c r="F35" s="23">
        <v>0</v>
      </c>
      <c r="G35" s="23">
        <v>0</v>
      </c>
      <c r="H35" s="22" t="str">
        <f>E30</f>
        <v>Équipe 5</v>
      </c>
    </row>
    <row r="36" spans="4:15" ht="21.75" customHeight="1" x14ac:dyDescent="0.35">
      <c r="D36" s="33" t="s">
        <v>126</v>
      </c>
      <c r="E36" s="36" t="str">
        <f>E31</f>
        <v>Équipe 13</v>
      </c>
      <c r="F36" s="23">
        <v>0</v>
      </c>
      <c r="G36" s="23">
        <v>0</v>
      </c>
      <c r="H36" s="36" t="str">
        <f>E32</f>
        <v>Équipe 2</v>
      </c>
    </row>
    <row r="37" spans="4:15" ht="21.75" customHeight="1" x14ac:dyDescent="0.35">
      <c r="D37" s="19" t="s">
        <v>127</v>
      </c>
      <c r="E37" s="22" t="str">
        <f>E29</f>
        <v>Équipe 17</v>
      </c>
      <c r="F37" s="23">
        <v>0</v>
      </c>
      <c r="G37" s="23">
        <v>0</v>
      </c>
      <c r="H37" s="22" t="str">
        <f>E31</f>
        <v>Équipe 13</v>
      </c>
    </row>
    <row r="38" spans="4:15" ht="21.75" customHeight="1" x14ac:dyDescent="0.35">
      <c r="D38" s="33" t="s">
        <v>128</v>
      </c>
      <c r="E38" s="36" t="str">
        <f>E30</f>
        <v>Équipe 5</v>
      </c>
      <c r="F38" s="23">
        <v>0</v>
      </c>
      <c r="G38" s="23">
        <v>0</v>
      </c>
      <c r="H38" s="36" t="str">
        <f>E32</f>
        <v>Équipe 2</v>
      </c>
    </row>
    <row r="39" spans="4:15" ht="21.75" customHeight="1" x14ac:dyDescent="0.35">
      <c r="D39" s="19" t="s">
        <v>129</v>
      </c>
      <c r="E39" s="22" t="str">
        <f>E29</f>
        <v>Équipe 17</v>
      </c>
      <c r="F39" s="23">
        <v>0</v>
      </c>
      <c r="G39" s="23">
        <v>0</v>
      </c>
      <c r="H39" s="22" t="str">
        <f>E32</f>
        <v>Équipe 2</v>
      </c>
    </row>
    <row r="40" spans="4:15" ht="21.75" customHeight="1" x14ac:dyDescent="0.35">
      <c r="D40" s="33" t="s">
        <v>130</v>
      </c>
      <c r="E40" s="36" t="str">
        <f>E30</f>
        <v>Équipe 5</v>
      </c>
      <c r="F40" s="23">
        <v>0</v>
      </c>
      <c r="G40" s="23">
        <v>0</v>
      </c>
      <c r="H40" s="36" t="str">
        <f>E31</f>
        <v>Équipe 13</v>
      </c>
    </row>
    <row r="42" spans="4:15" ht="21.75" customHeight="1" x14ac:dyDescent="0.35">
      <c r="D42" s="3" t="s">
        <v>131</v>
      </c>
      <c r="E42" s="142"/>
      <c r="F42" s="92"/>
      <c r="G42" s="92"/>
      <c r="H42" s="92"/>
      <c r="I42" s="92"/>
      <c r="J42" s="92"/>
      <c r="K42" s="92"/>
      <c r="L42" s="92"/>
      <c r="M42" s="92"/>
    </row>
    <row r="43" spans="4:15" ht="21.75" customHeight="1" x14ac:dyDescent="0.35">
      <c r="D43" s="3" t="s">
        <v>3</v>
      </c>
      <c r="E43" s="3" t="s">
        <v>4</v>
      </c>
      <c r="F43" s="3" t="s">
        <v>5</v>
      </c>
      <c r="G43" s="3" t="s">
        <v>6</v>
      </c>
      <c r="H43" s="3" t="s">
        <v>7</v>
      </c>
      <c r="I43" s="3" t="s">
        <v>8</v>
      </c>
      <c r="J43" s="3" t="s">
        <v>9</v>
      </c>
      <c r="K43" s="3" t="s">
        <v>10</v>
      </c>
      <c r="L43" s="3" t="s">
        <v>11</v>
      </c>
      <c r="M43" s="3" t="s">
        <v>12</v>
      </c>
    </row>
    <row r="44" spans="4:15" ht="21.75" customHeight="1" x14ac:dyDescent="0.35">
      <c r="D44" s="19">
        <v>1</v>
      </c>
      <c r="E44" s="22" t="str">
        <f t="shared" ref="E44:M44" si="4">IFERROR(INDEX(E52:E55,MATCH(1,$O$52:$O$55,0)),"")</f>
        <v>Équipe 17</v>
      </c>
      <c r="F44" s="27">
        <f t="shared" si="4"/>
        <v>3</v>
      </c>
      <c r="G44" s="27">
        <f t="shared" si="4"/>
        <v>0</v>
      </c>
      <c r="H44" s="27">
        <f t="shared" si="4"/>
        <v>3</v>
      </c>
      <c r="I44" s="27">
        <f t="shared" si="4"/>
        <v>0</v>
      </c>
      <c r="J44" s="28">
        <f t="shared" si="4"/>
        <v>3</v>
      </c>
      <c r="K44" s="27">
        <f t="shared" si="4"/>
        <v>0</v>
      </c>
      <c r="L44" s="27">
        <f t="shared" si="4"/>
        <v>0</v>
      </c>
      <c r="M44" s="29">
        <f t="shared" si="4"/>
        <v>0</v>
      </c>
    </row>
    <row r="45" spans="4:15" ht="21.75" customHeight="1" x14ac:dyDescent="0.35">
      <c r="D45" s="33">
        <v>2</v>
      </c>
      <c r="E45" s="36" t="str">
        <f t="shared" ref="E45:M45" si="5">IFERROR(INDEX(E52:E55,MATCH(2,$O$52:$O$55,0)),"")</f>
        <v>Équipe 5</v>
      </c>
      <c r="F45" s="37">
        <f t="shared" si="5"/>
        <v>3</v>
      </c>
      <c r="G45" s="37">
        <f t="shared" si="5"/>
        <v>0</v>
      </c>
      <c r="H45" s="37">
        <f t="shared" si="5"/>
        <v>3</v>
      </c>
      <c r="I45" s="37">
        <f t="shared" si="5"/>
        <v>0</v>
      </c>
      <c r="J45" s="28">
        <f t="shared" si="5"/>
        <v>3</v>
      </c>
      <c r="K45" s="37">
        <f t="shared" si="5"/>
        <v>0</v>
      </c>
      <c r="L45" s="37">
        <f t="shared" si="5"/>
        <v>0</v>
      </c>
      <c r="M45" s="29">
        <f t="shared" si="5"/>
        <v>0</v>
      </c>
    </row>
    <row r="46" spans="4:15" ht="21.75" customHeight="1" x14ac:dyDescent="0.35">
      <c r="D46" s="19">
        <v>3</v>
      </c>
      <c r="E46" s="22" t="str">
        <f t="shared" ref="E46:M46" si="6">IFERROR(INDEX(E52:E55,MATCH(3,$O$52:$O$55,0)),"")</f>
        <v>Équipe 13</v>
      </c>
      <c r="F46" s="27">
        <f t="shared" si="6"/>
        <v>3</v>
      </c>
      <c r="G46" s="27">
        <f t="shared" si="6"/>
        <v>0</v>
      </c>
      <c r="H46" s="27">
        <f t="shared" si="6"/>
        <v>3</v>
      </c>
      <c r="I46" s="27">
        <f t="shared" si="6"/>
        <v>0</v>
      </c>
      <c r="J46" s="28">
        <f t="shared" si="6"/>
        <v>3</v>
      </c>
      <c r="K46" s="27">
        <f t="shared" si="6"/>
        <v>0</v>
      </c>
      <c r="L46" s="27">
        <f t="shared" si="6"/>
        <v>0</v>
      </c>
      <c r="M46" s="29">
        <f t="shared" si="6"/>
        <v>0</v>
      </c>
    </row>
    <row r="47" spans="4:15" ht="21.75" customHeight="1" x14ac:dyDescent="0.35">
      <c r="D47" s="33">
        <v>4</v>
      </c>
      <c r="E47" s="36" t="str">
        <f t="shared" ref="E47:M47" si="7">IFERROR(INDEX(E52:E55,MATCH(4,$O$52:$O$55,0)),"")</f>
        <v>Équipe 2</v>
      </c>
      <c r="F47" s="37">
        <f t="shared" si="7"/>
        <v>3</v>
      </c>
      <c r="G47" s="37">
        <f t="shared" si="7"/>
        <v>0</v>
      </c>
      <c r="H47" s="37">
        <f t="shared" si="7"/>
        <v>3</v>
      </c>
      <c r="I47" s="37">
        <f t="shared" si="7"/>
        <v>0</v>
      </c>
      <c r="J47" s="28">
        <f t="shared" si="7"/>
        <v>3</v>
      </c>
      <c r="K47" s="37">
        <f t="shared" si="7"/>
        <v>0</v>
      </c>
      <c r="L47" s="37">
        <f t="shared" si="7"/>
        <v>0</v>
      </c>
      <c r="M47" s="29">
        <f t="shared" si="7"/>
        <v>0</v>
      </c>
    </row>
    <row r="48" spans="4:15" hidden="1" x14ac:dyDescent="0.35">
      <c r="D48">
        <v>1</v>
      </c>
      <c r="E48" t="str">
        <f>E6</f>
        <v>Équipe 10</v>
      </c>
      <c r="F48">
        <f>3</f>
        <v>3</v>
      </c>
      <c r="G48">
        <f>IF(F12&gt;G12,1,0)+IF(F14&gt;G14,1,0)+IF(F16&gt;G16,1,0)</f>
        <v>0</v>
      </c>
      <c r="H48">
        <f>IF(F12=G12,1,0)+IF(F14=G14,1,0)+IF(F16=G16,1,0)</f>
        <v>3</v>
      </c>
      <c r="I48">
        <f>IF(F12&lt;G12,1,0)+IF(F14&lt;G14,1,0)+IF(F16&lt;G16,1,0)</f>
        <v>0</v>
      </c>
      <c r="J48">
        <f>2*(IF(F12&gt;G12,1,0)+IF(F14&gt;G14,1,0)+IF(F16&gt;G16,1,0))+(IF(F12=G12,1,0)+IF(F14=G14,1,0)+IF(F16=G16,1,0))</f>
        <v>3</v>
      </c>
      <c r="K48">
        <f>F12+F14+F16</f>
        <v>0</v>
      </c>
      <c r="L48">
        <f>G12+G14+G16</f>
        <v>0</v>
      </c>
      <c r="M48">
        <f>(F12+F14+F16)-(G12+G14+G16)</f>
        <v>0</v>
      </c>
      <c r="N48">
        <f t="shared" ref="N48:N55" si="8">J48*1000+M48</f>
        <v>3000</v>
      </c>
      <c r="O48">
        <f>RANK(N48,$N$48:$N$51,0)+COUNTIF($N$48:N48,N48)-1</f>
        <v>1</v>
      </c>
    </row>
    <row r="49" spans="4:15" hidden="1" x14ac:dyDescent="0.35">
      <c r="D49">
        <v>2</v>
      </c>
      <c r="E49" t="str">
        <f>E7</f>
        <v>Équipe 1</v>
      </c>
      <c r="F49">
        <f>3</f>
        <v>3</v>
      </c>
      <c r="G49">
        <f>IF(G12&gt;F12,1,0)+IF(F15&gt;G15,1,0)+IF(F17&gt;G17,1,0)</f>
        <v>0</v>
      </c>
      <c r="H49">
        <f>IF(G12=F12,1,0)+IF(F15=G15,1,0)+IF(F17=G17,1,0)</f>
        <v>3</v>
      </c>
      <c r="I49">
        <f>IF(G12&lt;F12,1,0)+IF(F15&lt;G15,1,0)+IF(F17&lt;G17,1,0)</f>
        <v>0</v>
      </c>
      <c r="J49">
        <f>2*(IF(G12&gt;F12,1,0)+IF(F15&gt;G15,1,0)+IF(F17&gt;G17,1,0))+(IF(G12=F12,1,0)+IF(F15=G15,1,0)+IF(F17=G17,1,0))</f>
        <v>3</v>
      </c>
      <c r="K49">
        <f>G12+F15+F17</f>
        <v>0</v>
      </c>
      <c r="L49">
        <f>F12+G15+G17</f>
        <v>0</v>
      </c>
      <c r="M49">
        <f>(G12+F15+F17)-(F12+G15+G17)</f>
        <v>0</v>
      </c>
      <c r="N49">
        <f t="shared" si="8"/>
        <v>3000</v>
      </c>
      <c r="O49">
        <f>RANK(N49,$N$48:$N$51,0)+COUNTIF($N$48:N49,N49)-1</f>
        <v>2</v>
      </c>
    </row>
    <row r="50" spans="4:15" hidden="1" x14ac:dyDescent="0.35">
      <c r="D50">
        <v>3</v>
      </c>
      <c r="E50" t="str">
        <f>E8</f>
        <v>Équipe 19</v>
      </c>
      <c r="F50">
        <f>3</f>
        <v>3</v>
      </c>
      <c r="G50">
        <f>IF(F13&gt;G13,1,0)+IF(G14&gt;F14,1,0)+IF(G17&gt;F17,1,0)</f>
        <v>0</v>
      </c>
      <c r="H50">
        <f>IF(F13=G13,1,0)+IF(G14=F14,1,0)+IF(G17=F17,1,0)</f>
        <v>3</v>
      </c>
      <c r="I50">
        <f>IF(F13&lt;G13,1,0)+IF(G14&lt;F14,1,0)+IF(G17&lt;F17,1,0)</f>
        <v>0</v>
      </c>
      <c r="J50">
        <f>2*(IF(F13&gt;G13,1,0)+IF(G14&gt;F14,1,0)+IF(G17&gt;F17,1,0))+(IF(F13=G13,1,0)+IF(G14=F14,1,0)+IF(G17=F17,1,0))</f>
        <v>3</v>
      </c>
      <c r="K50">
        <f>F13+G14+G17</f>
        <v>0</v>
      </c>
      <c r="L50">
        <f>G13+F14+F17</f>
        <v>0</v>
      </c>
      <c r="M50">
        <f>(F13+G14+G17)-(G13+F14+F17)</f>
        <v>0</v>
      </c>
      <c r="N50">
        <f t="shared" si="8"/>
        <v>3000</v>
      </c>
      <c r="O50">
        <f>RANK(N50,$N$48:$N$51,0)+COUNTIF($N$48:N50,N50)-1</f>
        <v>3</v>
      </c>
    </row>
    <row r="51" spans="4:15" hidden="1" x14ac:dyDescent="0.35">
      <c r="D51">
        <v>4</v>
      </c>
      <c r="E51" t="str">
        <f>E9</f>
        <v>Équipe 6</v>
      </c>
      <c r="F51">
        <f>3</f>
        <v>3</v>
      </c>
      <c r="G51">
        <f>IF(G13&gt;F13,1,0)+IF(G15&gt;F15,1,0)+IF(G16&gt;F16,1,0)</f>
        <v>0</v>
      </c>
      <c r="H51">
        <f>IF(G13=F13,1,0)+IF(G15=F15,1,0)+IF(G16=F16,1,0)</f>
        <v>3</v>
      </c>
      <c r="I51">
        <f>IF(G13&lt;F13,1,0)+IF(G15&lt;F15,1,0)+IF(G16&lt;F16,1,0)</f>
        <v>0</v>
      </c>
      <c r="J51">
        <f>2*(IF(G13&gt;F13,1,0)+IF(G15&gt;F15,1,0)+IF(G16&gt;F16,1,0))+(IF(G13=F13,1,0)+IF(G15=F15,1,0)+IF(G16=F16,1,0))</f>
        <v>3</v>
      </c>
      <c r="K51">
        <f>G13+G15+G16</f>
        <v>0</v>
      </c>
      <c r="L51">
        <f>F13+F15+F16</f>
        <v>0</v>
      </c>
      <c r="M51">
        <f>(G13+G15+G16)-(F13+F15+F16)</f>
        <v>0</v>
      </c>
      <c r="N51">
        <f t="shared" si="8"/>
        <v>3000</v>
      </c>
      <c r="O51">
        <f>RANK(N51,$N$48:$N$51,0)+COUNTIF($N$48:N51,N51)-1</f>
        <v>4</v>
      </c>
    </row>
    <row r="52" spans="4:15" hidden="1" x14ac:dyDescent="0.35">
      <c r="D52">
        <v>1</v>
      </c>
      <c r="E52" t="str">
        <f>E29</f>
        <v>Équipe 17</v>
      </c>
      <c r="F52">
        <f>3</f>
        <v>3</v>
      </c>
      <c r="G52">
        <f>IF(F35&gt;G35,1,0)+IF(F37&gt;G37,1,0)+IF(F39&gt;G39,1,0)</f>
        <v>0</v>
      </c>
      <c r="H52">
        <f>IF(F35=G35,1,0)+IF(F37=G37,1,0)+IF(F39=G39,1,0)</f>
        <v>3</v>
      </c>
      <c r="I52">
        <f>IF(F35&lt;G35,1,0)+IF(F37&lt;G37,1,0)+IF(F39&lt;G39,1,0)</f>
        <v>0</v>
      </c>
      <c r="J52">
        <f>2*(IF(F35&gt;G35,1,0)+IF(F37&gt;G37,1,0)+IF(F39&gt;G39,1,0))+(IF(F35=G35,1,0)+IF(F37=G37,1,0)+IF(F39=G39,1,0))</f>
        <v>3</v>
      </c>
      <c r="K52">
        <f>F35+F37+F39</f>
        <v>0</v>
      </c>
      <c r="L52">
        <f>G35+G37+G39</f>
        <v>0</v>
      </c>
      <c r="M52">
        <f>(F35+F37+F39)-(G35+G37+G39)</f>
        <v>0</v>
      </c>
      <c r="N52">
        <f t="shared" si="8"/>
        <v>3000</v>
      </c>
      <c r="O52">
        <f>RANK(N52,$N$52:$N$55,0)+COUNTIF($N$52:N52,N52)-1</f>
        <v>1</v>
      </c>
    </row>
    <row r="53" spans="4:15" hidden="1" x14ac:dyDescent="0.35">
      <c r="D53">
        <v>2</v>
      </c>
      <c r="E53" t="str">
        <f>E30</f>
        <v>Équipe 5</v>
      </c>
      <c r="F53">
        <f>3</f>
        <v>3</v>
      </c>
      <c r="G53">
        <f>IF(G35&gt;F35,1,0)+IF(F38&gt;G38,1,0)+IF(F40&gt;G40,1,0)</f>
        <v>0</v>
      </c>
      <c r="H53">
        <f>IF(G35=F35,1,0)+IF(F38=G38,1,0)+IF(F40=G40,1,0)</f>
        <v>3</v>
      </c>
      <c r="I53">
        <f>IF(G35&lt;F35,1,0)+IF(F38&lt;G38,1,0)+IF(F40&lt;G40,1,0)</f>
        <v>0</v>
      </c>
      <c r="J53">
        <f>2*(IF(G35&gt;F35,1,0)+IF(F38&gt;G38,1,0)+IF(F40&gt;G40,1,0))+(IF(G35=F35,1,0)+IF(F38=G38,1,0)+IF(F40=G40,1,0))</f>
        <v>3</v>
      </c>
      <c r="K53">
        <f>G35+F38+F40</f>
        <v>0</v>
      </c>
      <c r="L53">
        <f>F35+G38+G40</f>
        <v>0</v>
      </c>
      <c r="M53">
        <f>(G35+F38+F40)-(F35+G38+G40)</f>
        <v>0</v>
      </c>
      <c r="N53">
        <f t="shared" si="8"/>
        <v>3000</v>
      </c>
      <c r="O53">
        <f>RANK(N53,$N$52:$N$55,0)+COUNTIF($N$52:N53,N53)-1</f>
        <v>2</v>
      </c>
    </row>
    <row r="54" spans="4:15" hidden="1" x14ac:dyDescent="0.35">
      <c r="D54">
        <v>3</v>
      </c>
      <c r="E54" t="str">
        <f>E31</f>
        <v>Équipe 13</v>
      </c>
      <c r="F54">
        <f>3</f>
        <v>3</v>
      </c>
      <c r="G54">
        <f>IF(F36&gt;G36,1,0)+IF(G37&gt;F37,1,0)+IF(G40&gt;F40,1,0)</f>
        <v>0</v>
      </c>
      <c r="H54">
        <f>IF(F36=G36,1,0)+IF(G37=F37,1,0)+IF(G40=F40,1,0)</f>
        <v>3</v>
      </c>
      <c r="I54">
        <f>IF(F36&lt;G36,1,0)+IF(G37&lt;F37,1,0)+IF(G40&lt;F40,1,0)</f>
        <v>0</v>
      </c>
      <c r="J54">
        <f>2*(IF(F36&gt;G36,1,0)+IF(G37&gt;F37,1,0)+IF(G40&gt;F40,1,0))+(IF(F36=G36,1,0)+IF(G37=F37,1,0)+IF(G40=F40,1,0))</f>
        <v>3</v>
      </c>
      <c r="K54">
        <f>F36+G37+G40</f>
        <v>0</v>
      </c>
      <c r="L54">
        <f>G36+F37+F40</f>
        <v>0</v>
      </c>
      <c r="M54">
        <f>(F36+G37+G40)-(G36+F37+F40)</f>
        <v>0</v>
      </c>
      <c r="N54">
        <f t="shared" si="8"/>
        <v>3000</v>
      </c>
      <c r="O54">
        <f>RANK(N54,$N$52:$N$55,0)+COUNTIF($N$52:N54,N54)-1</f>
        <v>3</v>
      </c>
    </row>
    <row r="55" spans="4:15" hidden="1" x14ac:dyDescent="0.35">
      <c r="D55">
        <v>4</v>
      </c>
      <c r="E55" t="str">
        <f>E32</f>
        <v>Équipe 2</v>
      </c>
      <c r="F55">
        <f>3</f>
        <v>3</v>
      </c>
      <c r="G55">
        <f>IF(G36&gt;F36,1,0)+IF(G38&gt;F38,1,0)+IF(G39&gt;F39,1,0)</f>
        <v>0</v>
      </c>
      <c r="H55">
        <f>IF(G36=F36,1,0)+IF(G38=F38,1,0)+IF(G39=F39,1,0)</f>
        <v>3</v>
      </c>
      <c r="I55">
        <f>IF(G36&lt;F36,1,0)+IF(G38&lt;F38,1,0)+IF(G39&lt;F39,1,0)</f>
        <v>0</v>
      </c>
      <c r="J55">
        <f>2*(IF(G36&gt;F36,1,0)+IF(G38&gt;F38,1,0)+IF(G39&gt;F39,1,0))+(IF(G36=F36,1,0)+IF(G38=F38,1,0)+IF(G39=F39,1,0))</f>
        <v>3</v>
      </c>
      <c r="K55">
        <f>G36+G38+G39</f>
        <v>0</v>
      </c>
      <c r="L55">
        <f>F36+F38+F39</f>
        <v>0</v>
      </c>
      <c r="M55">
        <f>(G36+G38+G39)-(F36+F38+F39)</f>
        <v>0</v>
      </c>
      <c r="N55">
        <f t="shared" si="8"/>
        <v>3000</v>
      </c>
      <c r="O55">
        <f>RANK(N55,$N$52:$N$55,0)+COUNTIF($N$52:N55,N55)-1</f>
        <v>4</v>
      </c>
    </row>
  </sheetData>
  <mergeCells count="16">
    <mergeCell ref="E32:G32"/>
    <mergeCell ref="C4:M4"/>
    <mergeCell ref="E19:M19"/>
    <mergeCell ref="E28:M28"/>
    <mergeCell ref="E42:M42"/>
    <mergeCell ref="E5:M5"/>
    <mergeCell ref="E31:G31"/>
    <mergeCell ref="E8:G8"/>
    <mergeCell ref="C1:M1"/>
    <mergeCell ref="C27:M27"/>
    <mergeCell ref="E9:G9"/>
    <mergeCell ref="C2:M2"/>
    <mergeCell ref="E30:G30"/>
    <mergeCell ref="E29:G29"/>
    <mergeCell ref="E7:G7"/>
    <mergeCell ref="E6:G6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C1:O83"/>
  <sheetViews>
    <sheetView topLeftCell="A2" zoomScaleNormal="100" workbookViewId="0">
      <selection activeCell="G60" sqref="G60"/>
    </sheetView>
  </sheetViews>
  <sheetFormatPr baseColWidth="10" defaultColWidth="8.6328125" defaultRowHeight="14.5" x14ac:dyDescent="0.35"/>
  <cols>
    <col min="2" max="2" width="3" customWidth="1"/>
    <col min="3" max="3" width="5" customWidth="1"/>
    <col min="4" max="4" width="22" customWidth="1"/>
    <col min="5" max="5" width="10.6328125" customWidth="1"/>
    <col min="6" max="6" width="9.08984375" customWidth="1"/>
    <col min="7" max="7" width="9.54296875" customWidth="1"/>
    <col min="8" max="8" width="10.08984375" customWidth="1"/>
    <col min="9" max="9" width="22" customWidth="1"/>
    <col min="10" max="11" width="8" customWidth="1"/>
    <col min="12" max="12" width="22" customWidth="1"/>
    <col min="13" max="13" width="10" customWidth="1"/>
  </cols>
  <sheetData>
    <row r="1" spans="3:13" ht="34.5" customHeight="1" x14ac:dyDescent="0.35">
      <c r="C1" s="137" t="s">
        <v>137</v>
      </c>
      <c r="D1" s="95"/>
      <c r="E1" s="95"/>
      <c r="F1" s="95"/>
      <c r="G1" s="95"/>
      <c r="H1" s="95"/>
      <c r="I1" s="95"/>
      <c r="J1" s="95"/>
      <c r="K1" s="95"/>
      <c r="L1" s="95"/>
      <c r="M1" s="95"/>
    </row>
    <row r="2" spans="3:13" ht="34.5" customHeight="1" x14ac:dyDescent="0.35">
      <c r="C2" s="91" t="s">
        <v>138</v>
      </c>
      <c r="D2" s="92"/>
      <c r="E2" s="92"/>
      <c r="F2" s="92"/>
      <c r="G2" s="92"/>
      <c r="H2" s="92"/>
      <c r="I2" s="92"/>
      <c r="J2" s="92"/>
      <c r="K2" s="92"/>
      <c r="L2" s="92"/>
      <c r="M2" s="92"/>
    </row>
    <row r="4" spans="3:13" ht="24.75" customHeight="1" x14ac:dyDescent="0.35">
      <c r="C4" s="102" t="s">
        <v>116</v>
      </c>
      <c r="D4" s="95"/>
      <c r="E4" s="95"/>
      <c r="F4" s="95"/>
      <c r="G4" s="95"/>
      <c r="H4" s="95"/>
      <c r="I4" s="95"/>
      <c r="J4" s="95"/>
      <c r="K4" s="95"/>
      <c r="L4" s="95"/>
      <c r="M4" s="95"/>
    </row>
    <row r="5" spans="3:13" ht="19.5" customHeight="1" x14ac:dyDescent="0.35">
      <c r="D5" s="31" t="s">
        <v>117</v>
      </c>
      <c r="E5" s="143" t="s">
        <v>118</v>
      </c>
      <c r="F5" s="95"/>
      <c r="G5" s="95"/>
      <c r="H5" s="95"/>
      <c r="I5" s="95"/>
      <c r="J5" s="95"/>
      <c r="K5" s="95"/>
      <c r="L5" s="95"/>
      <c r="M5" s="95"/>
    </row>
    <row r="6" spans="3:13" ht="19.5" customHeight="1" x14ac:dyDescent="0.35">
      <c r="D6" s="38" t="s">
        <v>119</v>
      </c>
      <c r="E6" s="141" t="str">
        <f>'Classement Phase 1'!W73</f>
        <v>Équipe 14</v>
      </c>
      <c r="F6" s="95"/>
      <c r="G6" s="95"/>
    </row>
    <row r="7" spans="3:13" ht="19.5" customHeight="1" x14ac:dyDescent="0.35">
      <c r="D7" s="38" t="s">
        <v>120</v>
      </c>
      <c r="E7" s="141" t="str">
        <f>'Classement Phase 1'!W74</f>
        <v>Équipe 15</v>
      </c>
      <c r="F7" s="95"/>
      <c r="G7" s="95"/>
    </row>
    <row r="8" spans="3:13" ht="19.5" customHeight="1" x14ac:dyDescent="0.35">
      <c r="D8" s="38" t="s">
        <v>121</v>
      </c>
      <c r="E8" s="141" t="str">
        <f>'Classement Phase 1'!W75</f>
        <v>Équipe 7</v>
      </c>
      <c r="F8" s="95"/>
      <c r="G8" s="95"/>
    </row>
    <row r="9" spans="3:13" ht="19.5" customHeight="1" x14ac:dyDescent="0.35">
      <c r="D9" s="38" t="s">
        <v>122</v>
      </c>
      <c r="E9" s="141" t="str">
        <f>'Classement Phase 1'!W76</f>
        <v>Équipe 4</v>
      </c>
      <c r="F9" s="95"/>
      <c r="G9" s="95"/>
    </row>
    <row r="11" spans="3:13" ht="21.75" customHeight="1" x14ac:dyDescent="0.35">
      <c r="D11" s="31" t="s">
        <v>98</v>
      </c>
      <c r="E11" s="31" t="s">
        <v>123</v>
      </c>
      <c r="F11" s="31" t="s">
        <v>99</v>
      </c>
      <c r="G11" s="31" t="s">
        <v>100</v>
      </c>
      <c r="H11" s="31" t="s">
        <v>124</v>
      </c>
      <c r="I11" s="31"/>
      <c r="J11" s="31"/>
      <c r="K11" s="31"/>
      <c r="L11" s="31"/>
      <c r="M11" s="31"/>
    </row>
    <row r="12" spans="3:13" ht="21.75" customHeight="1" x14ac:dyDescent="0.35">
      <c r="D12" s="19" t="s">
        <v>125</v>
      </c>
      <c r="E12" s="22" t="str">
        <f>E6</f>
        <v>Équipe 14</v>
      </c>
      <c r="F12" s="23">
        <v>0</v>
      </c>
      <c r="G12" s="23">
        <v>0</v>
      </c>
      <c r="H12" s="22" t="str">
        <f>E7</f>
        <v>Équipe 15</v>
      </c>
    </row>
    <row r="13" spans="3:13" ht="21.75" customHeight="1" x14ac:dyDescent="0.35">
      <c r="D13" s="39" t="s">
        <v>126</v>
      </c>
      <c r="E13" s="40" t="str">
        <f>E8</f>
        <v>Équipe 7</v>
      </c>
      <c r="F13" s="23">
        <v>0</v>
      </c>
      <c r="G13" s="23">
        <v>0</v>
      </c>
      <c r="H13" s="40" t="str">
        <f>E9</f>
        <v>Équipe 4</v>
      </c>
    </row>
    <row r="14" spans="3:13" ht="21.75" customHeight="1" x14ac:dyDescent="0.35">
      <c r="D14" s="19" t="s">
        <v>127</v>
      </c>
      <c r="E14" s="22" t="str">
        <f>E6</f>
        <v>Équipe 14</v>
      </c>
      <c r="F14" s="23">
        <v>0</v>
      </c>
      <c r="G14" s="23">
        <v>0</v>
      </c>
      <c r="H14" s="22" t="str">
        <f>E8</f>
        <v>Équipe 7</v>
      </c>
    </row>
    <row r="15" spans="3:13" ht="21.75" customHeight="1" x14ac:dyDescent="0.35">
      <c r="D15" s="39" t="s">
        <v>128</v>
      </c>
      <c r="E15" s="40" t="str">
        <f>E7</f>
        <v>Équipe 15</v>
      </c>
      <c r="F15" s="23">
        <v>0</v>
      </c>
      <c r="G15" s="23">
        <v>0</v>
      </c>
      <c r="H15" s="40" t="str">
        <f>E9</f>
        <v>Équipe 4</v>
      </c>
    </row>
    <row r="16" spans="3:13" ht="21.75" customHeight="1" x14ac:dyDescent="0.35">
      <c r="D16" s="19" t="s">
        <v>129</v>
      </c>
      <c r="E16" s="22" t="str">
        <f>E6</f>
        <v>Équipe 14</v>
      </c>
      <c r="F16" s="23">
        <v>0</v>
      </c>
      <c r="G16" s="23">
        <v>0</v>
      </c>
      <c r="H16" s="22" t="str">
        <f>E9</f>
        <v>Équipe 4</v>
      </c>
    </row>
    <row r="17" spans="3:13" ht="21.75" customHeight="1" x14ac:dyDescent="0.35">
      <c r="D17" s="39" t="s">
        <v>130</v>
      </c>
      <c r="E17" s="40" t="str">
        <f>E7</f>
        <v>Équipe 15</v>
      </c>
      <c r="F17" s="23">
        <v>0</v>
      </c>
      <c r="G17" s="23">
        <v>0</v>
      </c>
      <c r="H17" s="40" t="str">
        <f>E8</f>
        <v>Équipe 7</v>
      </c>
    </row>
    <row r="19" spans="3:13" ht="21.75" customHeight="1" x14ac:dyDescent="0.35">
      <c r="D19" s="31" t="s">
        <v>131</v>
      </c>
      <c r="E19" s="142"/>
      <c r="F19" s="92"/>
      <c r="G19" s="92"/>
      <c r="H19" s="92"/>
      <c r="I19" s="92"/>
      <c r="J19" s="92"/>
      <c r="K19" s="92"/>
      <c r="L19" s="92"/>
      <c r="M19" s="92"/>
    </row>
    <row r="20" spans="3:13" ht="21.75" customHeight="1" x14ac:dyDescent="0.35">
      <c r="D20" s="31" t="s">
        <v>3</v>
      </c>
      <c r="E20" s="31" t="s">
        <v>4</v>
      </c>
      <c r="F20" s="31" t="s">
        <v>5</v>
      </c>
      <c r="G20" s="31" t="s">
        <v>6</v>
      </c>
      <c r="H20" s="31" t="s">
        <v>7</v>
      </c>
      <c r="I20" s="31" t="s">
        <v>8</v>
      </c>
      <c r="J20" s="31" t="s">
        <v>9</v>
      </c>
      <c r="K20" s="31" t="s">
        <v>10</v>
      </c>
      <c r="L20" s="31" t="s">
        <v>11</v>
      </c>
      <c r="M20" s="31" t="s">
        <v>12</v>
      </c>
    </row>
    <row r="21" spans="3:13" ht="21.75" customHeight="1" x14ac:dyDescent="0.35">
      <c r="D21" s="19">
        <v>1</v>
      </c>
      <c r="E21" s="22" t="str">
        <f t="shared" ref="E21:M21" si="0">IFERROR(INDEX(E72:E75,MATCH(1,$O$72:$O$75,0)),"")</f>
        <v>Équipe 14</v>
      </c>
      <c r="F21" s="27">
        <f t="shared" si="0"/>
        <v>3</v>
      </c>
      <c r="G21" s="27">
        <f t="shared" si="0"/>
        <v>0</v>
      </c>
      <c r="H21" s="27">
        <f t="shared" si="0"/>
        <v>3</v>
      </c>
      <c r="I21" s="27">
        <f t="shared" si="0"/>
        <v>0</v>
      </c>
      <c r="J21" s="28">
        <f t="shared" si="0"/>
        <v>3</v>
      </c>
      <c r="K21" s="27">
        <f t="shared" si="0"/>
        <v>0</v>
      </c>
      <c r="L21" s="27">
        <f t="shared" si="0"/>
        <v>0</v>
      </c>
      <c r="M21" s="29">
        <f t="shared" si="0"/>
        <v>0</v>
      </c>
    </row>
    <row r="22" spans="3:13" ht="21.75" customHeight="1" x14ac:dyDescent="0.35">
      <c r="D22" s="39">
        <v>2</v>
      </c>
      <c r="E22" s="40" t="str">
        <f t="shared" ref="E22:M22" si="1">IFERROR(INDEX(E72:E75,MATCH(2,$O$72:$O$75,0)),"")</f>
        <v>Équipe 15</v>
      </c>
      <c r="F22" s="41">
        <f t="shared" si="1"/>
        <v>3</v>
      </c>
      <c r="G22" s="41">
        <f t="shared" si="1"/>
        <v>0</v>
      </c>
      <c r="H22" s="41">
        <f t="shared" si="1"/>
        <v>3</v>
      </c>
      <c r="I22" s="41">
        <f t="shared" si="1"/>
        <v>0</v>
      </c>
      <c r="J22" s="28">
        <f t="shared" si="1"/>
        <v>3</v>
      </c>
      <c r="K22" s="41">
        <f t="shared" si="1"/>
        <v>0</v>
      </c>
      <c r="L22" s="41">
        <f t="shared" si="1"/>
        <v>0</v>
      </c>
      <c r="M22" s="29">
        <f t="shared" si="1"/>
        <v>0</v>
      </c>
    </row>
    <row r="23" spans="3:13" ht="21.75" customHeight="1" x14ac:dyDescent="0.35">
      <c r="D23" s="19">
        <v>3</v>
      </c>
      <c r="E23" s="22" t="str">
        <f t="shared" ref="E23:M23" si="2">IFERROR(INDEX(E72:E75,MATCH(3,$O$72:$O$75,0)),"")</f>
        <v>Équipe 7</v>
      </c>
      <c r="F23" s="27">
        <f t="shared" si="2"/>
        <v>3</v>
      </c>
      <c r="G23" s="27">
        <f t="shared" si="2"/>
        <v>0</v>
      </c>
      <c r="H23" s="27">
        <f t="shared" si="2"/>
        <v>3</v>
      </c>
      <c r="I23" s="27">
        <f t="shared" si="2"/>
        <v>0</v>
      </c>
      <c r="J23" s="28">
        <f t="shared" si="2"/>
        <v>3</v>
      </c>
      <c r="K23" s="27">
        <f t="shared" si="2"/>
        <v>0</v>
      </c>
      <c r="L23" s="27">
        <f t="shared" si="2"/>
        <v>0</v>
      </c>
      <c r="M23" s="29">
        <f t="shared" si="2"/>
        <v>0</v>
      </c>
    </row>
    <row r="24" spans="3:13" ht="21.75" customHeight="1" x14ac:dyDescent="0.35">
      <c r="D24" s="39">
        <v>4</v>
      </c>
      <c r="E24" s="40" t="str">
        <f t="shared" ref="E24:M24" si="3">IFERROR(INDEX(E72:E75,MATCH(4,$O$72:$O$75,0)),"")</f>
        <v>Équipe 4</v>
      </c>
      <c r="F24" s="41">
        <f t="shared" si="3"/>
        <v>3</v>
      </c>
      <c r="G24" s="41">
        <f t="shared" si="3"/>
        <v>0</v>
      </c>
      <c r="H24" s="41">
        <f t="shared" si="3"/>
        <v>3</v>
      </c>
      <c r="I24" s="41">
        <f t="shared" si="3"/>
        <v>0</v>
      </c>
      <c r="J24" s="28">
        <f t="shared" si="3"/>
        <v>3</v>
      </c>
      <c r="K24" s="41">
        <f t="shared" si="3"/>
        <v>0</v>
      </c>
      <c r="L24" s="41">
        <f t="shared" si="3"/>
        <v>0</v>
      </c>
      <c r="M24" s="29">
        <f t="shared" si="3"/>
        <v>0</v>
      </c>
    </row>
    <row r="27" spans="3:13" ht="24.75" customHeight="1" x14ac:dyDescent="0.35">
      <c r="C27" s="102" t="s">
        <v>132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</row>
    <row r="28" spans="3:13" ht="19.5" customHeight="1" x14ac:dyDescent="0.35">
      <c r="D28" s="31" t="s">
        <v>117</v>
      </c>
      <c r="E28" s="143" t="s">
        <v>118</v>
      </c>
      <c r="F28" s="95"/>
      <c r="G28" s="95"/>
      <c r="H28" s="95"/>
      <c r="I28" s="95"/>
      <c r="J28" s="95"/>
      <c r="K28" s="95"/>
      <c r="L28" s="95"/>
      <c r="M28" s="95"/>
    </row>
    <row r="29" spans="3:13" ht="19.5" customHeight="1" x14ac:dyDescent="0.35">
      <c r="D29" s="38" t="s">
        <v>133</v>
      </c>
      <c r="E29" s="141" t="str">
        <f>'Classement Phase 1'!W80</f>
        <v>Équipe 12</v>
      </c>
      <c r="F29" s="95"/>
      <c r="G29" s="95"/>
    </row>
    <row r="30" spans="3:13" ht="19.5" customHeight="1" x14ac:dyDescent="0.35">
      <c r="D30" s="38" t="s">
        <v>134</v>
      </c>
      <c r="E30" s="141" t="str">
        <f>'Classement Phase 1'!W81</f>
        <v>Équipe 20</v>
      </c>
      <c r="F30" s="95"/>
      <c r="G30" s="95"/>
    </row>
    <row r="31" spans="3:13" ht="19.5" customHeight="1" x14ac:dyDescent="0.35">
      <c r="D31" s="38" t="s">
        <v>135</v>
      </c>
      <c r="E31" s="141" t="str">
        <f>'Classement Phase 1'!W82</f>
        <v>Équipe 9</v>
      </c>
      <c r="F31" s="95"/>
      <c r="G31" s="95"/>
    </row>
    <row r="32" spans="3:13" ht="19.5" customHeight="1" x14ac:dyDescent="0.35">
      <c r="D32" s="38" t="s">
        <v>136</v>
      </c>
      <c r="E32" s="141" t="str">
        <f>'Classement Phase 1'!W83</f>
        <v>Équipe 8</v>
      </c>
      <c r="F32" s="95"/>
      <c r="G32" s="95"/>
    </row>
    <row r="34" spans="4:13" ht="21.75" customHeight="1" x14ac:dyDescent="0.35">
      <c r="D34" s="31" t="s">
        <v>98</v>
      </c>
      <c r="E34" s="31" t="s">
        <v>123</v>
      </c>
      <c r="F34" s="31" t="s">
        <v>99</v>
      </c>
      <c r="G34" s="31" t="s">
        <v>100</v>
      </c>
      <c r="H34" s="31" t="s">
        <v>124</v>
      </c>
      <c r="I34" s="31"/>
      <c r="J34" s="31"/>
      <c r="K34" s="31"/>
      <c r="L34" s="31"/>
      <c r="M34" s="31"/>
    </row>
    <row r="35" spans="4:13" ht="21.75" customHeight="1" x14ac:dyDescent="0.35">
      <c r="D35" s="19" t="s">
        <v>125</v>
      </c>
      <c r="E35" s="22" t="str">
        <f>E29</f>
        <v>Équipe 12</v>
      </c>
      <c r="F35" s="23">
        <v>0</v>
      </c>
      <c r="G35" s="23">
        <v>0</v>
      </c>
      <c r="H35" s="22" t="str">
        <f>E30</f>
        <v>Équipe 20</v>
      </c>
    </row>
    <row r="36" spans="4:13" ht="21.75" customHeight="1" x14ac:dyDescent="0.35">
      <c r="D36" s="39" t="s">
        <v>126</v>
      </c>
      <c r="E36" s="40" t="str">
        <f>E31</f>
        <v>Équipe 9</v>
      </c>
      <c r="F36" s="23">
        <v>0</v>
      </c>
      <c r="G36" s="23">
        <v>0</v>
      </c>
      <c r="H36" s="40" t="str">
        <f>E32</f>
        <v>Équipe 8</v>
      </c>
    </row>
    <row r="37" spans="4:13" ht="21.75" customHeight="1" x14ac:dyDescent="0.35">
      <c r="D37" s="19" t="s">
        <v>127</v>
      </c>
      <c r="E37" s="22" t="str">
        <f>E29</f>
        <v>Équipe 12</v>
      </c>
      <c r="F37" s="23">
        <v>0</v>
      </c>
      <c r="G37" s="23">
        <v>0</v>
      </c>
      <c r="H37" s="22" t="str">
        <f>E31</f>
        <v>Équipe 9</v>
      </c>
    </row>
    <row r="38" spans="4:13" ht="21.75" customHeight="1" x14ac:dyDescent="0.35">
      <c r="D38" s="39" t="s">
        <v>128</v>
      </c>
      <c r="E38" s="40" t="str">
        <f>E30</f>
        <v>Équipe 20</v>
      </c>
      <c r="F38" s="23">
        <v>0</v>
      </c>
      <c r="G38" s="23">
        <v>0</v>
      </c>
      <c r="H38" s="40" t="str">
        <f>E32</f>
        <v>Équipe 8</v>
      </c>
    </row>
    <row r="39" spans="4:13" ht="21.75" customHeight="1" x14ac:dyDescent="0.35">
      <c r="D39" s="19" t="s">
        <v>129</v>
      </c>
      <c r="E39" s="22" t="str">
        <f>E29</f>
        <v>Équipe 12</v>
      </c>
      <c r="F39" s="23">
        <v>0</v>
      </c>
      <c r="G39" s="23">
        <v>0</v>
      </c>
      <c r="H39" s="22" t="str">
        <f>E32</f>
        <v>Équipe 8</v>
      </c>
    </row>
    <row r="40" spans="4:13" ht="21.75" customHeight="1" x14ac:dyDescent="0.35">
      <c r="D40" s="39" t="s">
        <v>130</v>
      </c>
      <c r="E40" s="40" t="str">
        <f>E30</f>
        <v>Équipe 20</v>
      </c>
      <c r="F40" s="23">
        <v>0</v>
      </c>
      <c r="G40" s="23">
        <v>0</v>
      </c>
      <c r="H40" s="40" t="str">
        <f>E31</f>
        <v>Équipe 9</v>
      </c>
    </row>
    <row r="42" spans="4:13" ht="21.75" customHeight="1" x14ac:dyDescent="0.35">
      <c r="D42" s="31" t="s">
        <v>131</v>
      </c>
      <c r="E42" s="142"/>
      <c r="F42" s="92"/>
      <c r="G42" s="92"/>
      <c r="H42" s="92"/>
      <c r="I42" s="92"/>
      <c r="J42" s="92"/>
      <c r="K42" s="92"/>
      <c r="L42" s="92"/>
      <c r="M42" s="92"/>
    </row>
    <row r="43" spans="4:13" ht="21.75" customHeight="1" x14ac:dyDescent="0.35">
      <c r="D43" s="31" t="s">
        <v>3</v>
      </c>
      <c r="E43" s="31" t="s">
        <v>4</v>
      </c>
      <c r="F43" s="31" t="s">
        <v>5</v>
      </c>
      <c r="G43" s="31" t="s">
        <v>6</v>
      </c>
      <c r="H43" s="31" t="s">
        <v>7</v>
      </c>
      <c r="I43" s="31" t="s">
        <v>8</v>
      </c>
      <c r="J43" s="31" t="s">
        <v>9</v>
      </c>
      <c r="K43" s="31" t="s">
        <v>10</v>
      </c>
      <c r="L43" s="31" t="s">
        <v>11</v>
      </c>
      <c r="M43" s="31" t="s">
        <v>12</v>
      </c>
    </row>
    <row r="44" spans="4:13" ht="21.75" customHeight="1" x14ac:dyDescent="0.35">
      <c r="D44" s="19">
        <v>1</v>
      </c>
      <c r="E44" s="22" t="str">
        <f t="shared" ref="E44:M44" si="4">IFERROR(INDEX(E76:E79,MATCH(1,$O$76:$O$79,0)),"")</f>
        <v>Équipe 12</v>
      </c>
      <c r="F44" s="27">
        <f t="shared" si="4"/>
        <v>3</v>
      </c>
      <c r="G44" s="27">
        <f t="shared" si="4"/>
        <v>0</v>
      </c>
      <c r="H44" s="27">
        <f t="shared" si="4"/>
        <v>3</v>
      </c>
      <c r="I44" s="27">
        <f t="shared" si="4"/>
        <v>0</v>
      </c>
      <c r="J44" s="28">
        <f t="shared" si="4"/>
        <v>3</v>
      </c>
      <c r="K44" s="27">
        <f t="shared" si="4"/>
        <v>0</v>
      </c>
      <c r="L44" s="27">
        <f t="shared" si="4"/>
        <v>0</v>
      </c>
      <c r="M44" s="29">
        <f t="shared" si="4"/>
        <v>0</v>
      </c>
    </row>
    <row r="45" spans="4:13" ht="21.75" customHeight="1" x14ac:dyDescent="0.35">
      <c r="D45" s="39">
        <v>2</v>
      </c>
      <c r="E45" s="40" t="str">
        <f t="shared" ref="E45:M45" si="5">IFERROR(INDEX(E76:E79,MATCH(2,$O$76:$O$79,0)),"")</f>
        <v>Équipe 20</v>
      </c>
      <c r="F45" s="41">
        <f t="shared" si="5"/>
        <v>3</v>
      </c>
      <c r="G45" s="41">
        <f t="shared" si="5"/>
        <v>0</v>
      </c>
      <c r="H45" s="41">
        <f t="shared" si="5"/>
        <v>3</v>
      </c>
      <c r="I45" s="41">
        <f t="shared" si="5"/>
        <v>0</v>
      </c>
      <c r="J45" s="28">
        <f t="shared" si="5"/>
        <v>3</v>
      </c>
      <c r="K45" s="41">
        <f t="shared" si="5"/>
        <v>0</v>
      </c>
      <c r="L45" s="41">
        <f t="shared" si="5"/>
        <v>0</v>
      </c>
      <c r="M45" s="29">
        <f t="shared" si="5"/>
        <v>0</v>
      </c>
    </row>
    <row r="46" spans="4:13" ht="21.75" customHeight="1" x14ac:dyDescent="0.35">
      <c r="D46" s="19">
        <v>3</v>
      </c>
      <c r="E46" s="22" t="str">
        <f t="shared" ref="E46:M46" si="6">IFERROR(INDEX(E76:E79,MATCH(3,$O$76:$O$79,0)),"")</f>
        <v>Équipe 9</v>
      </c>
      <c r="F46" s="27">
        <f t="shared" si="6"/>
        <v>3</v>
      </c>
      <c r="G46" s="27">
        <f t="shared" si="6"/>
        <v>0</v>
      </c>
      <c r="H46" s="27">
        <f t="shared" si="6"/>
        <v>3</v>
      </c>
      <c r="I46" s="27">
        <f t="shared" si="6"/>
        <v>0</v>
      </c>
      <c r="J46" s="28">
        <f t="shared" si="6"/>
        <v>3</v>
      </c>
      <c r="K46" s="27">
        <f t="shared" si="6"/>
        <v>0</v>
      </c>
      <c r="L46" s="27">
        <f t="shared" si="6"/>
        <v>0</v>
      </c>
      <c r="M46" s="29">
        <f t="shared" si="6"/>
        <v>0</v>
      </c>
    </row>
    <row r="47" spans="4:13" ht="21.75" customHeight="1" x14ac:dyDescent="0.35">
      <c r="D47" s="39">
        <v>4</v>
      </c>
      <c r="E47" s="40" t="str">
        <f t="shared" ref="E47:M47" si="7">IFERROR(INDEX(E76:E79,MATCH(4,$O$76:$O$79,0)),"")</f>
        <v>Équipe 8</v>
      </c>
      <c r="F47" s="41">
        <f t="shared" si="7"/>
        <v>3</v>
      </c>
      <c r="G47" s="41">
        <f t="shared" si="7"/>
        <v>0</v>
      </c>
      <c r="H47" s="41">
        <f t="shared" si="7"/>
        <v>3</v>
      </c>
      <c r="I47" s="41">
        <f t="shared" si="7"/>
        <v>0</v>
      </c>
      <c r="J47" s="28">
        <f t="shared" si="7"/>
        <v>3</v>
      </c>
      <c r="K47" s="41">
        <f t="shared" si="7"/>
        <v>0</v>
      </c>
      <c r="L47" s="41">
        <f t="shared" si="7"/>
        <v>0</v>
      </c>
      <c r="M47" s="29">
        <f t="shared" si="7"/>
        <v>0</v>
      </c>
    </row>
    <row r="50" spans="3:13" ht="24.75" customHeight="1" x14ac:dyDescent="0.35">
      <c r="C50" s="102" t="s">
        <v>139</v>
      </c>
      <c r="D50" s="95"/>
      <c r="E50" s="95"/>
      <c r="F50" s="95"/>
      <c r="G50" s="95"/>
      <c r="H50" s="95"/>
      <c r="I50" s="95"/>
      <c r="J50" s="95"/>
      <c r="K50" s="95"/>
      <c r="L50" s="95"/>
      <c r="M50" s="95"/>
    </row>
    <row r="51" spans="3:13" ht="19.5" customHeight="1" x14ac:dyDescent="0.35">
      <c r="D51" s="31" t="s">
        <v>117</v>
      </c>
      <c r="E51" s="143" t="s">
        <v>118</v>
      </c>
      <c r="F51" s="95"/>
      <c r="G51" s="95"/>
      <c r="H51" s="95"/>
      <c r="I51" s="95"/>
      <c r="J51" s="95"/>
      <c r="K51" s="95"/>
      <c r="L51" s="95"/>
      <c r="M51" s="95"/>
    </row>
    <row r="52" spans="3:13" ht="19.5" customHeight="1" x14ac:dyDescent="0.35">
      <c r="D52" s="38" t="s">
        <v>140</v>
      </c>
      <c r="E52" s="141" t="str">
        <f>'Classement Phase 1'!W87</f>
        <v>Équipe 18</v>
      </c>
      <c r="F52" s="95"/>
      <c r="G52" s="95"/>
    </row>
    <row r="53" spans="3:13" ht="19.5" customHeight="1" x14ac:dyDescent="0.35">
      <c r="D53" s="38" t="s">
        <v>141</v>
      </c>
      <c r="E53" s="141" t="str">
        <f>'Classement Phase 1'!W88</f>
        <v>Équipe 16</v>
      </c>
      <c r="F53" s="95"/>
      <c r="G53" s="95"/>
    </row>
    <row r="54" spans="3:13" ht="19.5" customHeight="1" x14ac:dyDescent="0.35">
      <c r="D54" s="38" t="s">
        <v>142</v>
      </c>
      <c r="E54" s="141" t="str">
        <f>'Classement Phase 1'!W89</f>
        <v>Équipe 11</v>
      </c>
      <c r="F54" s="95"/>
      <c r="G54" s="95"/>
    </row>
    <row r="55" spans="3:13" ht="19.5" customHeight="1" x14ac:dyDescent="0.35">
      <c r="D55" s="38" t="s">
        <v>143</v>
      </c>
      <c r="E55" s="141" t="str">
        <f>'Classement Phase 1'!W90</f>
        <v>Équipe 3</v>
      </c>
      <c r="F55" s="95"/>
      <c r="G55" s="95"/>
    </row>
    <row r="57" spans="3:13" ht="21.75" customHeight="1" x14ac:dyDescent="0.35">
      <c r="D57" s="31" t="s">
        <v>98</v>
      </c>
      <c r="E57" s="31" t="s">
        <v>123</v>
      </c>
      <c r="F57" s="31" t="s">
        <v>99</v>
      </c>
      <c r="G57" s="31" t="s">
        <v>100</v>
      </c>
      <c r="H57" s="31" t="s">
        <v>124</v>
      </c>
      <c r="I57" s="31"/>
      <c r="J57" s="31" t="s">
        <v>123</v>
      </c>
      <c r="K57" s="31" t="s">
        <v>99</v>
      </c>
      <c r="L57" s="31" t="s">
        <v>100</v>
      </c>
      <c r="M57" s="31" t="s">
        <v>124</v>
      </c>
    </row>
    <row r="58" spans="3:13" ht="21.75" customHeight="1" x14ac:dyDescent="0.35">
      <c r="D58" s="19" t="s">
        <v>125</v>
      </c>
      <c r="E58" s="22" t="str">
        <f>E52</f>
        <v>Équipe 18</v>
      </c>
      <c r="F58" s="23">
        <v>0</v>
      </c>
      <c r="G58" s="23">
        <v>0</v>
      </c>
      <c r="H58" s="22" t="str">
        <f>E53</f>
        <v>Équipe 16</v>
      </c>
    </row>
    <row r="59" spans="3:13" ht="21.75" customHeight="1" x14ac:dyDescent="0.35">
      <c r="D59" s="39" t="s">
        <v>126</v>
      </c>
      <c r="E59" s="40" t="str">
        <f>E54</f>
        <v>Équipe 11</v>
      </c>
      <c r="F59" s="23">
        <v>0</v>
      </c>
      <c r="G59" s="23">
        <v>0</v>
      </c>
      <c r="H59" s="40" t="str">
        <f>E55</f>
        <v>Équipe 3</v>
      </c>
    </row>
    <row r="60" spans="3:13" ht="21.75" customHeight="1" x14ac:dyDescent="0.35">
      <c r="D60" s="19" t="s">
        <v>127</v>
      </c>
      <c r="E60" s="22" t="str">
        <f>E52</f>
        <v>Équipe 18</v>
      </c>
      <c r="F60" s="23">
        <v>0</v>
      </c>
      <c r="G60" s="23">
        <v>0</v>
      </c>
      <c r="H60" s="22" t="str">
        <f>E54</f>
        <v>Équipe 11</v>
      </c>
    </row>
    <row r="61" spans="3:13" ht="21.75" customHeight="1" x14ac:dyDescent="0.35">
      <c r="D61" s="39" t="s">
        <v>128</v>
      </c>
      <c r="E61" s="40" t="str">
        <f>E53</f>
        <v>Équipe 16</v>
      </c>
      <c r="F61" s="23">
        <v>0</v>
      </c>
      <c r="G61" s="23">
        <v>0</v>
      </c>
      <c r="H61" s="40" t="str">
        <f>E55</f>
        <v>Équipe 3</v>
      </c>
    </row>
    <row r="62" spans="3:13" ht="21.75" customHeight="1" x14ac:dyDescent="0.35">
      <c r="D62" s="19" t="s">
        <v>129</v>
      </c>
      <c r="E62" s="22" t="str">
        <f>E52</f>
        <v>Équipe 18</v>
      </c>
      <c r="F62" s="23">
        <v>0</v>
      </c>
      <c r="G62" s="23">
        <v>0</v>
      </c>
      <c r="H62" s="22" t="str">
        <f>E55</f>
        <v>Équipe 3</v>
      </c>
    </row>
    <row r="63" spans="3:13" ht="21.75" customHeight="1" x14ac:dyDescent="0.35">
      <c r="D63" s="39" t="s">
        <v>130</v>
      </c>
      <c r="E63" s="40" t="str">
        <f>E53</f>
        <v>Équipe 16</v>
      </c>
      <c r="F63" s="23">
        <v>0</v>
      </c>
      <c r="G63" s="23">
        <v>0</v>
      </c>
      <c r="H63" s="40" t="str">
        <f>E54</f>
        <v>Équipe 11</v>
      </c>
    </row>
    <row r="65" spans="4:15" ht="21.75" customHeight="1" x14ac:dyDescent="0.35">
      <c r="D65" s="31" t="s">
        <v>131</v>
      </c>
      <c r="E65" s="142"/>
      <c r="F65" s="92"/>
      <c r="G65" s="92"/>
      <c r="H65" s="92"/>
      <c r="I65" s="92"/>
      <c r="J65" s="92"/>
      <c r="K65" s="92"/>
      <c r="L65" s="92"/>
      <c r="M65" s="92"/>
    </row>
    <row r="66" spans="4:15" ht="21.75" customHeight="1" x14ac:dyDescent="0.35">
      <c r="D66" s="31" t="s">
        <v>3</v>
      </c>
      <c r="E66" s="31" t="s">
        <v>4</v>
      </c>
      <c r="F66" s="31" t="s">
        <v>5</v>
      </c>
      <c r="G66" s="31" t="s">
        <v>6</v>
      </c>
      <c r="H66" s="31" t="s">
        <v>7</v>
      </c>
      <c r="I66" s="31" t="s">
        <v>8</v>
      </c>
      <c r="J66" s="31" t="s">
        <v>9</v>
      </c>
      <c r="K66" s="31" t="s">
        <v>10</v>
      </c>
      <c r="L66" s="31" t="s">
        <v>11</v>
      </c>
      <c r="M66" s="31" t="s">
        <v>12</v>
      </c>
    </row>
    <row r="67" spans="4:15" ht="21.75" customHeight="1" x14ac:dyDescent="0.35">
      <c r="D67" s="19">
        <v>1</v>
      </c>
      <c r="E67" s="22" t="str">
        <f t="shared" ref="E67:M67" si="8">IFERROR(INDEX(E80:E83,MATCH(1,$O$80:$O$83,0)),"")</f>
        <v>Équipe 18</v>
      </c>
      <c r="F67" s="27">
        <f t="shared" si="8"/>
        <v>3</v>
      </c>
      <c r="G67" s="27">
        <f t="shared" si="8"/>
        <v>0</v>
      </c>
      <c r="H67" s="27">
        <f t="shared" si="8"/>
        <v>3</v>
      </c>
      <c r="I67" s="27">
        <f t="shared" si="8"/>
        <v>0</v>
      </c>
      <c r="J67" s="28">
        <f t="shared" si="8"/>
        <v>3</v>
      </c>
      <c r="K67" s="27">
        <f t="shared" si="8"/>
        <v>0</v>
      </c>
      <c r="L67" s="27">
        <f t="shared" si="8"/>
        <v>0</v>
      </c>
      <c r="M67" s="29">
        <f t="shared" si="8"/>
        <v>0</v>
      </c>
    </row>
    <row r="68" spans="4:15" ht="21.75" customHeight="1" x14ac:dyDescent="0.35">
      <c r="D68" s="39">
        <v>2</v>
      </c>
      <c r="E68" s="40" t="str">
        <f t="shared" ref="E68:M68" si="9">IFERROR(INDEX(E80:E83,MATCH(2,$O$80:$O$83,0)),"")</f>
        <v>Équipe 16</v>
      </c>
      <c r="F68" s="41">
        <f t="shared" si="9"/>
        <v>3</v>
      </c>
      <c r="G68" s="41">
        <f t="shared" si="9"/>
        <v>0</v>
      </c>
      <c r="H68" s="41">
        <f t="shared" si="9"/>
        <v>3</v>
      </c>
      <c r="I68" s="41">
        <f t="shared" si="9"/>
        <v>0</v>
      </c>
      <c r="J68" s="28">
        <f t="shared" si="9"/>
        <v>3</v>
      </c>
      <c r="K68" s="41">
        <f t="shared" si="9"/>
        <v>0</v>
      </c>
      <c r="L68" s="41">
        <f t="shared" si="9"/>
        <v>0</v>
      </c>
      <c r="M68" s="29">
        <f t="shared" si="9"/>
        <v>0</v>
      </c>
    </row>
    <row r="69" spans="4:15" ht="21.75" customHeight="1" x14ac:dyDescent="0.35">
      <c r="D69" s="19">
        <v>3</v>
      </c>
      <c r="E69" s="22" t="str">
        <f t="shared" ref="E69:M69" si="10">IFERROR(INDEX(E80:E83,MATCH(3,$O$80:$O$83,0)),"")</f>
        <v>Équipe 11</v>
      </c>
      <c r="F69" s="27">
        <f t="shared" si="10"/>
        <v>3</v>
      </c>
      <c r="G69" s="27">
        <f t="shared" si="10"/>
        <v>0</v>
      </c>
      <c r="H69" s="27">
        <f t="shared" si="10"/>
        <v>3</v>
      </c>
      <c r="I69" s="27">
        <f t="shared" si="10"/>
        <v>0</v>
      </c>
      <c r="J69" s="28">
        <f t="shared" si="10"/>
        <v>3</v>
      </c>
      <c r="K69" s="27">
        <f t="shared" si="10"/>
        <v>0</v>
      </c>
      <c r="L69" s="27">
        <f t="shared" si="10"/>
        <v>0</v>
      </c>
      <c r="M69" s="29">
        <f t="shared" si="10"/>
        <v>0</v>
      </c>
    </row>
    <row r="70" spans="4:15" ht="21.75" customHeight="1" x14ac:dyDescent="0.35">
      <c r="D70" s="39">
        <v>4</v>
      </c>
      <c r="E70" s="40" t="str">
        <f t="shared" ref="E70:M70" si="11">IFERROR(INDEX(E80:E83,MATCH(4,$O$80:$O$83,0)),"")</f>
        <v>Équipe 3</v>
      </c>
      <c r="F70" s="41">
        <f t="shared" si="11"/>
        <v>3</v>
      </c>
      <c r="G70" s="41">
        <f t="shared" si="11"/>
        <v>0</v>
      </c>
      <c r="H70" s="41">
        <f t="shared" si="11"/>
        <v>3</v>
      </c>
      <c r="I70" s="41">
        <f t="shared" si="11"/>
        <v>0</v>
      </c>
      <c r="J70" s="28">
        <f t="shared" si="11"/>
        <v>3</v>
      </c>
      <c r="K70" s="41">
        <f t="shared" si="11"/>
        <v>0</v>
      </c>
      <c r="L70" s="41">
        <f t="shared" si="11"/>
        <v>0</v>
      </c>
      <c r="M70" s="29">
        <f t="shared" si="11"/>
        <v>0</v>
      </c>
    </row>
    <row r="72" spans="4:15" hidden="1" x14ac:dyDescent="0.35">
      <c r="D72">
        <v>1</v>
      </c>
      <c r="E72" t="str">
        <f>E6</f>
        <v>Équipe 14</v>
      </c>
      <c r="F72">
        <f>3</f>
        <v>3</v>
      </c>
      <c r="G72">
        <f>IF(F12&gt;G12,1,0)+IF(F14&gt;G14,1,0)+IF(F16&gt;G16,1,0)</f>
        <v>0</v>
      </c>
      <c r="H72">
        <f>IF(F12=G12,1,0)+IF(F14=G14,1,0)+IF(F16=G16,1,0)</f>
        <v>3</v>
      </c>
      <c r="I72">
        <f>IF(F12&lt;G12,1,0)+IF(F14&lt;G14,1,0)+IF(F16&lt;G16,1,0)</f>
        <v>0</v>
      </c>
      <c r="J72">
        <f>2*(IF(F12&gt;G12,1,0)+IF(F14&gt;G14,1,0)+IF(F16&gt;G16,1,0))+(IF(F12=G12,1,0)+IF(F14=G14,1,0)+IF(F16=G16,1,0))</f>
        <v>3</v>
      </c>
      <c r="K72">
        <f>F12+F14+F16</f>
        <v>0</v>
      </c>
      <c r="L72">
        <f>G12+G14+G16</f>
        <v>0</v>
      </c>
      <c r="M72">
        <f>(F12+F14+F16)-(G12+G14+G16)</f>
        <v>0</v>
      </c>
      <c r="N72">
        <f t="shared" ref="N72:N83" si="12">J72*1000+M72</f>
        <v>3000</v>
      </c>
      <c r="O72">
        <f>RANK(N72,$N$72:$N$75,0)+COUNTIF($N$72:N72,N72)-1</f>
        <v>1</v>
      </c>
    </row>
    <row r="73" spans="4:15" hidden="1" x14ac:dyDescent="0.35">
      <c r="D73">
        <v>2</v>
      </c>
      <c r="E73" t="str">
        <f>E7</f>
        <v>Équipe 15</v>
      </c>
      <c r="F73">
        <f>3</f>
        <v>3</v>
      </c>
      <c r="G73">
        <f>IF(G12&gt;F12,1,0)+IF(F15&gt;G15,1,0)+IF(F17&gt;G17,1,0)</f>
        <v>0</v>
      </c>
      <c r="H73">
        <f>IF(G12=F12,1,0)+IF(F15=G15,1,0)+IF(F17=G17,1,0)</f>
        <v>3</v>
      </c>
      <c r="I73">
        <f>IF(G12&lt;F12,1,0)+IF(F15&lt;G15,1,0)+IF(F17&lt;G17,1,0)</f>
        <v>0</v>
      </c>
      <c r="J73">
        <f>2*(IF(G12&gt;F12,1,0)+IF(F15&gt;G15,1,0)+IF(F17&gt;G17,1,0))+(IF(G12=F12,1,0)+IF(F15=G15,1,0)+IF(F17=G17,1,0))</f>
        <v>3</v>
      </c>
      <c r="K73">
        <f>G12+F15+F17</f>
        <v>0</v>
      </c>
      <c r="L73">
        <f>F12+G15+G17</f>
        <v>0</v>
      </c>
      <c r="M73">
        <f>(G12+F15+F17)-(F12+G15+G17)</f>
        <v>0</v>
      </c>
      <c r="N73">
        <f t="shared" si="12"/>
        <v>3000</v>
      </c>
      <c r="O73">
        <f>RANK(N73,$N$72:$N$75,0)+COUNTIF($N$72:N73,N73)-1</f>
        <v>2</v>
      </c>
    </row>
    <row r="74" spans="4:15" hidden="1" x14ac:dyDescent="0.35">
      <c r="D74">
        <v>3</v>
      </c>
      <c r="E74" t="str">
        <f>E8</f>
        <v>Équipe 7</v>
      </c>
      <c r="F74">
        <f>3</f>
        <v>3</v>
      </c>
      <c r="G74">
        <f>IF(F13&gt;G13,1,0)+IF(G14&gt;F14,1,0)+IF(G17&gt;F17,1,0)</f>
        <v>0</v>
      </c>
      <c r="H74">
        <f>IF(F13=G13,1,0)+IF(G14=F14,1,0)+IF(G17=F17,1,0)</f>
        <v>3</v>
      </c>
      <c r="I74">
        <f>IF(F13&lt;G13,1,0)+IF(G14&lt;F14,1,0)+IF(G17&lt;F17,1,0)</f>
        <v>0</v>
      </c>
      <c r="J74">
        <f>2*(IF(F13&gt;G13,1,0)+IF(G14&gt;F14,1,0)+IF(G17&gt;F17,1,0))+(IF(F13=G13,1,0)+IF(G14=F14,1,0)+IF(G17=F17,1,0))</f>
        <v>3</v>
      </c>
      <c r="K74">
        <f>F13+G14+G17</f>
        <v>0</v>
      </c>
      <c r="L74">
        <f>G13+F14+F17</f>
        <v>0</v>
      </c>
      <c r="M74">
        <f>(F13+G14+G17)-(G13+F14+F17)</f>
        <v>0</v>
      </c>
      <c r="N74">
        <f t="shared" si="12"/>
        <v>3000</v>
      </c>
      <c r="O74">
        <f>RANK(N74,$N$72:$N$75,0)+COUNTIF($N$72:N74,N74)-1</f>
        <v>3</v>
      </c>
    </row>
    <row r="75" spans="4:15" hidden="1" x14ac:dyDescent="0.35">
      <c r="D75">
        <v>4</v>
      </c>
      <c r="E75" t="str">
        <f>E9</f>
        <v>Équipe 4</v>
      </c>
      <c r="F75">
        <f>3</f>
        <v>3</v>
      </c>
      <c r="G75">
        <f>IF(G13&gt;F13,1,0)+IF(G15&gt;F15,1,0)+IF(G16&gt;F16,1,0)</f>
        <v>0</v>
      </c>
      <c r="H75">
        <f>IF(G13=F13,1,0)+IF(G15=F15,1,0)+IF(G16=F16,1,0)</f>
        <v>3</v>
      </c>
      <c r="I75">
        <f>IF(G13&lt;F13,1,0)+IF(G15&lt;F15,1,0)+IF(G16&lt;F16,1,0)</f>
        <v>0</v>
      </c>
      <c r="J75">
        <f>2*(IF(G13&gt;F13,1,0)+IF(G15&gt;F15,1,0)+IF(G16&gt;F16,1,0))+(IF(G13=F13,1,0)+IF(G15=F15,1,0)+IF(G16=F16,1,0))</f>
        <v>3</v>
      </c>
      <c r="K75">
        <f>G13+G15+G16</f>
        <v>0</v>
      </c>
      <c r="L75">
        <f>F13+F15+F16</f>
        <v>0</v>
      </c>
      <c r="M75">
        <f>(G13+G15+G16)-(F13+F15+F16)</f>
        <v>0</v>
      </c>
      <c r="N75">
        <f t="shared" si="12"/>
        <v>3000</v>
      </c>
      <c r="O75">
        <f>RANK(N75,$N$72:$N$75,0)+COUNTIF($N$72:N75,N75)-1</f>
        <v>4</v>
      </c>
    </row>
    <row r="76" spans="4:15" hidden="1" x14ac:dyDescent="0.35">
      <c r="D76">
        <v>1</v>
      </c>
      <c r="E76" t="str">
        <f>E29</f>
        <v>Équipe 12</v>
      </c>
      <c r="F76">
        <f>3</f>
        <v>3</v>
      </c>
      <c r="G76">
        <f>IF(F35&gt;G35,1,0)+IF(F37&gt;G37,1,0)+IF(F39&gt;G39,1,0)</f>
        <v>0</v>
      </c>
      <c r="H76">
        <f>IF(F35=G35,1,0)+IF(F37=G37,1,0)+IF(F39=G39,1,0)</f>
        <v>3</v>
      </c>
      <c r="I76">
        <f>IF(F35&lt;G35,1,0)+IF(F37&lt;G37,1,0)+IF(F39&lt;G39,1,0)</f>
        <v>0</v>
      </c>
      <c r="J76">
        <f>2*(IF(F35&gt;G35,1,0)+IF(F37&gt;G37,1,0)+IF(F39&gt;G39,1,0))+(IF(F35=G35,1,0)+IF(F37=G37,1,0)+IF(F39=G39,1,0))</f>
        <v>3</v>
      </c>
      <c r="K76">
        <f>F35+F37+F39</f>
        <v>0</v>
      </c>
      <c r="L76">
        <f>G35+G37+G39</f>
        <v>0</v>
      </c>
      <c r="M76">
        <f>(F35+F37+F39)-(G35+G37+G39)</f>
        <v>0</v>
      </c>
      <c r="N76">
        <f t="shared" si="12"/>
        <v>3000</v>
      </c>
      <c r="O76">
        <f>RANK(N76,$N$76:$N$79,0)+COUNTIF($N$76:N76,N76)-1</f>
        <v>1</v>
      </c>
    </row>
    <row r="77" spans="4:15" hidden="1" x14ac:dyDescent="0.35">
      <c r="D77">
        <v>2</v>
      </c>
      <c r="E77" t="str">
        <f>E30</f>
        <v>Équipe 20</v>
      </c>
      <c r="F77">
        <f>3</f>
        <v>3</v>
      </c>
      <c r="G77">
        <f>IF(G35&gt;F35,1,0)+IF(F38&gt;G38,1,0)+IF(F40&gt;G40,1,0)</f>
        <v>0</v>
      </c>
      <c r="H77">
        <f>IF(G35=F35,1,0)+IF(F38=G38,1,0)+IF(F40=G40,1,0)</f>
        <v>3</v>
      </c>
      <c r="I77">
        <f>IF(G35&lt;F35,1,0)+IF(F38&lt;G38,1,0)+IF(F40&lt;G40,1,0)</f>
        <v>0</v>
      </c>
      <c r="J77">
        <f>2*(IF(G35&gt;F35,1,0)+IF(F38&gt;G38,1,0)+IF(F40&gt;G40,1,0))+(IF(G35=F35,1,0)+IF(F38=G38,1,0)+IF(F40=G40,1,0))</f>
        <v>3</v>
      </c>
      <c r="K77">
        <f>G35+F38+F40</f>
        <v>0</v>
      </c>
      <c r="L77">
        <f>F35+G38+G40</f>
        <v>0</v>
      </c>
      <c r="M77">
        <f>(G35+F38+F40)-(F35+G38+G40)</f>
        <v>0</v>
      </c>
      <c r="N77">
        <f t="shared" si="12"/>
        <v>3000</v>
      </c>
      <c r="O77">
        <f>RANK(N77,$N$76:$N$79,0)+COUNTIF($N$76:N77,N77)-1</f>
        <v>2</v>
      </c>
    </row>
    <row r="78" spans="4:15" hidden="1" x14ac:dyDescent="0.35">
      <c r="D78">
        <v>3</v>
      </c>
      <c r="E78" t="str">
        <f>E31</f>
        <v>Équipe 9</v>
      </c>
      <c r="F78">
        <f>3</f>
        <v>3</v>
      </c>
      <c r="G78">
        <f>IF(F36&gt;G36,1,0)+IF(G37&gt;F37,1,0)+IF(G40&gt;F40,1,0)</f>
        <v>0</v>
      </c>
      <c r="H78">
        <f>IF(F36=G36,1,0)+IF(G37=F37,1,0)+IF(G40=F40,1,0)</f>
        <v>3</v>
      </c>
      <c r="I78">
        <f>IF(F36&lt;G36,1,0)+IF(G37&lt;F37,1,0)+IF(G40&lt;F40,1,0)</f>
        <v>0</v>
      </c>
      <c r="J78">
        <f>2*(IF(F36&gt;G36,1,0)+IF(G37&gt;F37,1,0)+IF(G40&gt;F40,1,0))+(IF(F36=G36,1,0)+IF(G37=F37,1,0)+IF(G40=F40,1,0))</f>
        <v>3</v>
      </c>
      <c r="K78">
        <f>F36+G37+G40</f>
        <v>0</v>
      </c>
      <c r="L78">
        <f>G36+F37+F40</f>
        <v>0</v>
      </c>
      <c r="M78">
        <f>(F36+G37+G40)-(G36+F37+F40)</f>
        <v>0</v>
      </c>
      <c r="N78">
        <f t="shared" si="12"/>
        <v>3000</v>
      </c>
      <c r="O78">
        <f>RANK(N78,$N$76:$N$79,0)+COUNTIF($N$76:N78,N78)-1</f>
        <v>3</v>
      </c>
    </row>
    <row r="79" spans="4:15" hidden="1" x14ac:dyDescent="0.35">
      <c r="D79">
        <v>4</v>
      </c>
      <c r="E79" t="str">
        <f>E32</f>
        <v>Équipe 8</v>
      </c>
      <c r="F79">
        <f>3</f>
        <v>3</v>
      </c>
      <c r="G79">
        <f>IF(G36&gt;F36,1,0)+IF(G38&gt;F38,1,0)+IF(G39&gt;F39,1,0)</f>
        <v>0</v>
      </c>
      <c r="H79">
        <f>IF(G36=F36,1,0)+IF(G38=F38,1,0)+IF(G39=F39,1,0)</f>
        <v>3</v>
      </c>
      <c r="I79">
        <f>IF(G36&lt;F36,1,0)+IF(G38&lt;F38,1,0)+IF(G39&lt;F39,1,0)</f>
        <v>0</v>
      </c>
      <c r="J79">
        <f>2*(IF(G36&gt;F36,1,0)+IF(G38&gt;F38,1,0)+IF(G39&gt;F39,1,0))+(IF(G36=F36,1,0)+IF(G38=F38,1,0)+IF(G39=F39,1,0))</f>
        <v>3</v>
      </c>
      <c r="K79">
        <f>G36+G38+G39</f>
        <v>0</v>
      </c>
      <c r="L79">
        <f>F36+F38+F39</f>
        <v>0</v>
      </c>
      <c r="M79">
        <f>(G36+G38+G39)-(F36+F38+F39)</f>
        <v>0</v>
      </c>
      <c r="N79">
        <f t="shared" si="12"/>
        <v>3000</v>
      </c>
      <c r="O79">
        <f>RANK(N79,$N$76:$N$79,0)+COUNTIF($N$76:N79,N79)-1</f>
        <v>4</v>
      </c>
    </row>
    <row r="80" spans="4:15" hidden="1" x14ac:dyDescent="0.35">
      <c r="D80">
        <v>1</v>
      </c>
      <c r="E80" t="str">
        <f>E52</f>
        <v>Équipe 18</v>
      </c>
      <c r="F80">
        <f>3</f>
        <v>3</v>
      </c>
      <c r="G80">
        <f>IF(F58&gt;G58,1,0)+IF(F60&gt;G60,1,0)+IF(F62&gt;G62,1,0)</f>
        <v>0</v>
      </c>
      <c r="H80">
        <f>IF(F58=G58,1,0)+IF(F60=G60,1,0)+IF(F62=G62,1,0)</f>
        <v>3</v>
      </c>
      <c r="I80">
        <f>IF(F58&lt;G58,1,0)+IF(F60&lt;G60,1,0)+IF(F62&lt;G62,1,0)</f>
        <v>0</v>
      </c>
      <c r="J80">
        <f>2*(IF(F58&gt;G58,1,0)+IF(F60&gt;G60,1,0)+IF(F62&gt;G62,1,0))+(IF(F58=G58,1,0)+IF(F60=G60,1,0)+IF(F62=G62,1,0))</f>
        <v>3</v>
      </c>
      <c r="K80">
        <f>F58+F60+F62</f>
        <v>0</v>
      </c>
      <c r="L80">
        <f>G58+G60+G62</f>
        <v>0</v>
      </c>
      <c r="M80">
        <f>(F58+F60+F62)-(G58+G60+G62)</f>
        <v>0</v>
      </c>
      <c r="N80">
        <f t="shared" si="12"/>
        <v>3000</v>
      </c>
      <c r="O80">
        <f>RANK(N80,$N$80:$N$83,0)+COUNTIF($N$80:N80,N80)-1</f>
        <v>1</v>
      </c>
    </row>
    <row r="81" spans="4:15" hidden="1" x14ac:dyDescent="0.35">
      <c r="D81">
        <v>2</v>
      </c>
      <c r="E81" t="str">
        <f>E53</f>
        <v>Équipe 16</v>
      </c>
      <c r="F81">
        <f>3</f>
        <v>3</v>
      </c>
      <c r="G81">
        <f>IF(G58&gt;F58,1,0)+IF(F61&gt;G61,1,0)+IF(F63&gt;G63,1,0)</f>
        <v>0</v>
      </c>
      <c r="H81">
        <f>IF(G58=F58,1,0)+IF(F61=G61,1,0)+IF(F63=G63,1,0)</f>
        <v>3</v>
      </c>
      <c r="I81">
        <f>IF(G58&lt;F58,1,0)+IF(F61&lt;G61,1,0)+IF(F63&lt;G63,1,0)</f>
        <v>0</v>
      </c>
      <c r="J81">
        <f>2*(IF(G58&gt;F58,1,0)+IF(F61&gt;G61,1,0)+IF(F63&gt;G63,1,0))+(IF(G58=F58,1,0)+IF(F61=G61,1,0)+IF(F63=G63,1,0))</f>
        <v>3</v>
      </c>
      <c r="K81">
        <f>G58+F61+F63</f>
        <v>0</v>
      </c>
      <c r="L81">
        <f>F58+G61+G63</f>
        <v>0</v>
      </c>
      <c r="M81">
        <f>(G58+F61+F63)-(F58+G61+G63)</f>
        <v>0</v>
      </c>
      <c r="N81">
        <f t="shared" si="12"/>
        <v>3000</v>
      </c>
      <c r="O81">
        <f>RANK(N81,$N$80:$N$83,0)+COUNTIF($N$80:N81,N81)-1</f>
        <v>2</v>
      </c>
    </row>
    <row r="82" spans="4:15" hidden="1" x14ac:dyDescent="0.35">
      <c r="D82">
        <v>3</v>
      </c>
      <c r="E82" t="str">
        <f>E54</f>
        <v>Équipe 11</v>
      </c>
      <c r="F82">
        <f>3</f>
        <v>3</v>
      </c>
      <c r="G82">
        <f>IF(F59&gt;G59,1,0)+IF(G60&gt;F60,1,0)+IF(G63&gt;F63,1,0)</f>
        <v>0</v>
      </c>
      <c r="H82">
        <f>IF(F59=G59,1,0)+IF(G60=F60,1,0)+IF(G63=F63,1,0)</f>
        <v>3</v>
      </c>
      <c r="I82">
        <f>IF(F59&lt;G59,1,0)+IF(G60&lt;F60,1,0)+IF(G63&lt;F63,1,0)</f>
        <v>0</v>
      </c>
      <c r="J82">
        <f>2*(IF(F59&gt;G59,1,0)+IF(G60&gt;F60,1,0)+IF(G63&gt;F63,1,0))+(IF(F59=G59,1,0)+IF(G60=F60,1,0)+IF(G63=F63,1,0))</f>
        <v>3</v>
      </c>
      <c r="K82">
        <f>F59+G60+G63</f>
        <v>0</v>
      </c>
      <c r="L82">
        <f>G59+F60+F63</f>
        <v>0</v>
      </c>
      <c r="M82">
        <f>(F59+G60+G63)-(G59+F60+F63)</f>
        <v>0</v>
      </c>
      <c r="N82">
        <f t="shared" si="12"/>
        <v>3000</v>
      </c>
      <c r="O82">
        <f>RANK(N82,$N$80:$N$83,0)+COUNTIF($N$80:N82,N82)-1</f>
        <v>3</v>
      </c>
    </row>
    <row r="83" spans="4:15" hidden="1" x14ac:dyDescent="0.35">
      <c r="D83">
        <v>4</v>
      </c>
      <c r="E83" t="str">
        <f>E55</f>
        <v>Équipe 3</v>
      </c>
      <c r="F83">
        <f>3</f>
        <v>3</v>
      </c>
      <c r="G83">
        <f>IF(G59&gt;F59,1,0)+IF(G61&gt;F61,1,0)+IF(G62&gt;F62,1,0)</f>
        <v>0</v>
      </c>
      <c r="H83">
        <f>IF(G59=F59,1,0)+IF(G61=F61,1,0)+IF(G62=F62,1,0)</f>
        <v>3</v>
      </c>
      <c r="I83">
        <f>IF(G59&lt;F59,1,0)+IF(G61&lt;F61,1,0)+IF(G62&lt;F62,1,0)</f>
        <v>0</v>
      </c>
      <c r="J83">
        <f>2*(IF(G59&gt;F59,1,0)+IF(G61&gt;F61,1,0)+IF(G62&gt;F62,1,0))+(IF(G59=F59,1,0)+IF(G61=F61,1,0)+IF(G62=F62,1,0))</f>
        <v>3</v>
      </c>
      <c r="K83">
        <f>G59+G61+G62</f>
        <v>0</v>
      </c>
      <c r="L83">
        <f>F59+F61+F62</f>
        <v>0</v>
      </c>
      <c r="M83">
        <f>(G59+G61+G62)-(F59+F61+F62)</f>
        <v>0</v>
      </c>
      <c r="N83">
        <f t="shared" si="12"/>
        <v>3000</v>
      </c>
      <c r="O83">
        <f>RANK(N83,$N$80:$N$83,0)+COUNTIF($N$80:N83,N83)-1</f>
        <v>4</v>
      </c>
    </row>
  </sheetData>
  <mergeCells count="23">
    <mergeCell ref="E8:G8"/>
    <mergeCell ref="E19:M19"/>
    <mergeCell ref="E28:M28"/>
    <mergeCell ref="E31:G31"/>
    <mergeCell ref="E9:G9"/>
    <mergeCell ref="E30:G30"/>
    <mergeCell ref="E29:G29"/>
    <mergeCell ref="E51:M51"/>
    <mergeCell ref="E65:M65"/>
    <mergeCell ref="E6:G6"/>
    <mergeCell ref="C4:M4"/>
    <mergeCell ref="C1:M1"/>
    <mergeCell ref="C50:M50"/>
    <mergeCell ref="E7:G7"/>
    <mergeCell ref="E54:G54"/>
    <mergeCell ref="E32:G32"/>
    <mergeCell ref="E53:G53"/>
    <mergeCell ref="C27:M27"/>
    <mergeCell ref="C2:M2"/>
    <mergeCell ref="E55:G55"/>
    <mergeCell ref="E52:G52"/>
    <mergeCell ref="E42:M42"/>
    <mergeCell ref="E5:M5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C1:K54"/>
  <sheetViews>
    <sheetView topLeftCell="A45" zoomScaleNormal="100" workbookViewId="0">
      <selection activeCell="B10" sqref="B10"/>
    </sheetView>
  </sheetViews>
  <sheetFormatPr baseColWidth="10" defaultColWidth="8.6328125" defaultRowHeight="14.5" x14ac:dyDescent="0.35"/>
  <cols>
    <col min="2" max="2" width="3" customWidth="1"/>
    <col min="3" max="3" width="16.453125" customWidth="1"/>
    <col min="4" max="4" width="22" customWidth="1"/>
    <col min="5" max="5" width="8" customWidth="1"/>
    <col min="6" max="6" width="10.1796875" customWidth="1"/>
    <col min="7" max="7" width="14.26953125" customWidth="1"/>
    <col min="8" max="8" width="22" customWidth="1"/>
    <col min="9" max="9" width="5" customWidth="1"/>
    <col min="10" max="11" width="20" customWidth="1"/>
  </cols>
  <sheetData>
    <row r="1" spans="3:11" ht="34.5" customHeight="1" x14ac:dyDescent="0.35">
      <c r="C1" s="98" t="s">
        <v>144</v>
      </c>
      <c r="D1" s="95"/>
      <c r="E1" s="95"/>
      <c r="F1" s="95"/>
      <c r="G1" s="95"/>
      <c r="H1" s="95"/>
      <c r="I1" s="95"/>
      <c r="J1" s="95"/>
      <c r="K1" s="95"/>
    </row>
    <row r="3" spans="3:11" ht="24.75" customHeight="1" x14ac:dyDescent="0.35">
      <c r="C3" s="94" t="s">
        <v>145</v>
      </c>
      <c r="D3" s="95"/>
      <c r="E3" s="95"/>
      <c r="F3" s="95"/>
      <c r="G3" s="95"/>
      <c r="H3" s="95"/>
      <c r="I3" s="95"/>
      <c r="J3" s="95"/>
      <c r="K3" s="95"/>
    </row>
    <row r="4" spans="3:11" ht="19.5" customHeight="1" x14ac:dyDescent="0.35">
      <c r="C4" s="143" t="s">
        <v>146</v>
      </c>
      <c r="D4" s="95"/>
      <c r="E4" s="95"/>
      <c r="F4" s="95"/>
      <c r="G4" s="95"/>
      <c r="H4" s="95"/>
      <c r="I4" s="95"/>
      <c r="J4" s="95"/>
      <c r="K4" s="95"/>
    </row>
    <row r="5" spans="3:11" ht="21.75" customHeight="1" x14ac:dyDescent="0.35">
      <c r="C5" s="2" t="s">
        <v>98</v>
      </c>
      <c r="D5" s="2" t="s">
        <v>36</v>
      </c>
      <c r="E5" s="2" t="s">
        <v>99</v>
      </c>
      <c r="F5" s="2" t="s">
        <v>100</v>
      </c>
      <c r="G5" s="2" t="s">
        <v>40</v>
      </c>
      <c r="H5" s="2" t="s">
        <v>147</v>
      </c>
    </row>
    <row r="6" spans="3:11" ht="24.75" customHeight="1" x14ac:dyDescent="0.35">
      <c r="C6" s="33" t="s">
        <v>148</v>
      </c>
      <c r="D6" s="20" t="s">
        <v>149</v>
      </c>
      <c r="E6" s="23">
        <v>0</v>
      </c>
      <c r="F6" s="23">
        <v>0</v>
      </c>
      <c r="G6" s="20" t="s">
        <v>150</v>
      </c>
      <c r="H6" s="28" t="str">
        <f>IF(E6&gt;F6,D6,IF(E6&lt;F6,G6,"Match nul"))</f>
        <v>Match nul</v>
      </c>
    </row>
    <row r="7" spans="3:11" ht="24.75" customHeight="1" x14ac:dyDescent="0.35">
      <c r="C7" s="94"/>
      <c r="D7" s="95"/>
      <c r="E7" s="95"/>
      <c r="F7" s="95"/>
      <c r="G7" s="95"/>
      <c r="H7" s="95"/>
      <c r="I7" s="95"/>
      <c r="J7" s="95"/>
      <c r="K7" s="95"/>
    </row>
    <row r="8" spans="3:11" ht="21.75" customHeight="1" x14ac:dyDescent="0.35">
      <c r="C8" s="2" t="s">
        <v>98</v>
      </c>
      <c r="D8" s="2" t="s">
        <v>36</v>
      </c>
      <c r="E8" s="2" t="s">
        <v>99</v>
      </c>
      <c r="F8" s="2" t="s">
        <v>100</v>
      </c>
      <c r="G8" s="2" t="s">
        <v>40</v>
      </c>
      <c r="H8" s="2" t="s">
        <v>147</v>
      </c>
    </row>
    <row r="9" spans="3:11" ht="24.75" customHeight="1" x14ac:dyDescent="0.35">
      <c r="C9" s="33" t="s">
        <v>151</v>
      </c>
      <c r="D9" s="20" t="s">
        <v>152</v>
      </c>
      <c r="E9" s="23">
        <v>0</v>
      </c>
      <c r="F9" s="23">
        <v>0</v>
      </c>
      <c r="G9" s="20" t="s">
        <v>153</v>
      </c>
      <c r="H9" s="28" t="str">
        <f>IF(E9&gt;F9,D9,IF(E9&lt;F9,G9,"Match nul"))</f>
        <v>Match nul</v>
      </c>
    </row>
    <row r="11" spans="3:11" ht="24.75" customHeight="1" x14ac:dyDescent="0.35">
      <c r="C11" s="147" t="s">
        <v>154</v>
      </c>
      <c r="D11" s="95"/>
      <c r="E11" s="95"/>
      <c r="F11" s="95"/>
      <c r="G11" s="95"/>
      <c r="H11" s="95"/>
      <c r="I11" s="95"/>
      <c r="J11" s="95"/>
      <c r="K11" s="95"/>
    </row>
    <row r="12" spans="3:11" ht="19.5" customHeight="1" x14ac:dyDescent="0.35">
      <c r="C12" s="143" t="s">
        <v>155</v>
      </c>
      <c r="D12" s="95"/>
      <c r="E12" s="95"/>
      <c r="F12" s="95"/>
      <c r="G12" s="95"/>
      <c r="H12" s="95"/>
      <c r="I12" s="95"/>
      <c r="J12" s="95"/>
      <c r="K12" s="95"/>
    </row>
    <row r="13" spans="3:11" ht="21.75" customHeight="1" x14ac:dyDescent="0.35">
      <c r="C13" s="42" t="s">
        <v>98</v>
      </c>
      <c r="D13" s="42" t="s">
        <v>36</v>
      </c>
      <c r="E13" s="42" t="s">
        <v>99</v>
      </c>
      <c r="F13" s="42" t="s">
        <v>100</v>
      </c>
      <c r="G13" s="42" t="s">
        <v>40</v>
      </c>
      <c r="H13" s="42" t="s">
        <v>147</v>
      </c>
    </row>
    <row r="14" spans="3:11" ht="24.75" customHeight="1" x14ac:dyDescent="0.35">
      <c r="C14" s="33" t="s">
        <v>156</v>
      </c>
      <c r="D14" s="20" t="s">
        <v>157</v>
      </c>
      <c r="E14" s="23">
        <v>0</v>
      </c>
      <c r="F14" s="23">
        <v>0</v>
      </c>
      <c r="G14" s="20" t="s">
        <v>158</v>
      </c>
      <c r="H14" s="28" t="str">
        <f>IF(E14&gt;F14,D14,IF(E14&lt;F14,G14,"Match nul"))</f>
        <v>Match nul</v>
      </c>
    </row>
    <row r="16" spans="3:11" ht="24.75" customHeight="1" x14ac:dyDescent="0.35">
      <c r="C16" s="145" t="s">
        <v>159</v>
      </c>
      <c r="D16" s="95"/>
      <c r="E16" s="95"/>
      <c r="F16" s="95"/>
      <c r="G16" s="95"/>
      <c r="H16" s="95"/>
      <c r="I16" s="95"/>
      <c r="J16" s="95"/>
      <c r="K16" s="95"/>
    </row>
    <row r="17" spans="3:11" ht="19.5" customHeight="1" x14ac:dyDescent="0.35">
      <c r="C17" s="143" t="s">
        <v>160</v>
      </c>
      <c r="D17" s="95"/>
      <c r="E17" s="95"/>
      <c r="F17" s="95"/>
      <c r="G17" s="95"/>
      <c r="H17" s="95"/>
      <c r="I17" s="95"/>
      <c r="J17" s="95"/>
      <c r="K17" s="95"/>
    </row>
    <row r="18" spans="3:11" ht="21.75" customHeight="1" x14ac:dyDescent="0.35">
      <c r="C18" s="43" t="s">
        <v>98</v>
      </c>
      <c r="D18" s="43" t="s">
        <v>36</v>
      </c>
      <c r="E18" s="43" t="s">
        <v>99</v>
      </c>
      <c r="F18" s="43" t="s">
        <v>100</v>
      </c>
      <c r="G18" s="43" t="s">
        <v>40</v>
      </c>
      <c r="H18" s="43" t="s">
        <v>147</v>
      </c>
    </row>
    <row r="19" spans="3:11" ht="24.75" customHeight="1" x14ac:dyDescent="0.35">
      <c r="C19" s="33" t="s">
        <v>161</v>
      </c>
      <c r="D19" s="20" t="s">
        <v>162</v>
      </c>
      <c r="E19" s="23">
        <v>0</v>
      </c>
      <c r="F19" s="23">
        <v>0</v>
      </c>
      <c r="G19" s="20" t="s">
        <v>163</v>
      </c>
      <c r="H19" s="28" t="str">
        <f>IF(E19&gt;F19,D19,IF(E19&lt;F19,G19,"Match nul"))</f>
        <v>Match nul</v>
      </c>
    </row>
    <row r="21" spans="3:11" ht="24.75" customHeight="1" x14ac:dyDescent="0.35">
      <c r="C21" s="146" t="s">
        <v>164</v>
      </c>
      <c r="D21" s="95"/>
      <c r="E21" s="95"/>
      <c r="F21" s="95"/>
      <c r="G21" s="95"/>
      <c r="H21" s="95"/>
      <c r="I21" s="95"/>
      <c r="J21" s="95"/>
      <c r="K21" s="95"/>
    </row>
    <row r="22" spans="3:11" ht="19.5" customHeight="1" x14ac:dyDescent="0.35">
      <c r="C22" s="143" t="s">
        <v>165</v>
      </c>
      <c r="D22" s="95"/>
      <c r="E22" s="95"/>
      <c r="F22" s="95"/>
      <c r="G22" s="95"/>
      <c r="H22" s="95"/>
      <c r="I22" s="95"/>
      <c r="J22" s="95"/>
      <c r="K22" s="95"/>
    </row>
    <row r="23" spans="3:11" ht="21.75" customHeight="1" x14ac:dyDescent="0.35">
      <c r="C23" s="44" t="s">
        <v>98</v>
      </c>
      <c r="D23" s="44" t="s">
        <v>36</v>
      </c>
      <c r="E23" s="44" t="s">
        <v>99</v>
      </c>
      <c r="F23" s="44" t="s">
        <v>100</v>
      </c>
      <c r="G23" s="44" t="s">
        <v>40</v>
      </c>
      <c r="H23" s="44" t="s">
        <v>147</v>
      </c>
    </row>
    <row r="24" spans="3:11" ht="24.75" customHeight="1" x14ac:dyDescent="0.35">
      <c r="C24" s="33" t="s">
        <v>166</v>
      </c>
      <c r="D24" s="20" t="s">
        <v>167</v>
      </c>
      <c r="E24" s="23">
        <v>0</v>
      </c>
      <c r="F24" s="23">
        <v>0</v>
      </c>
      <c r="G24" s="20" t="s">
        <v>168</v>
      </c>
      <c r="H24" s="28" t="str">
        <f>IF(E24&gt;F24,D24,IF(E24&lt;F24,G24,"Match nul"))</f>
        <v>Match nul</v>
      </c>
    </row>
    <row r="27" spans="3:11" ht="30" customHeight="1" x14ac:dyDescent="0.35">
      <c r="C27" s="148" t="s">
        <v>169</v>
      </c>
      <c r="D27" s="95"/>
      <c r="E27" s="95"/>
      <c r="F27" s="95"/>
      <c r="G27" s="95"/>
      <c r="H27" s="95"/>
      <c r="I27" s="95"/>
      <c r="J27" s="95"/>
      <c r="K27" s="95"/>
    </row>
    <row r="28" spans="3:11" ht="24.75" customHeight="1" x14ac:dyDescent="0.35">
      <c r="C28" s="102" t="s">
        <v>170</v>
      </c>
      <c r="D28" s="95"/>
      <c r="E28" s="95"/>
      <c r="F28" s="95"/>
      <c r="G28" s="95"/>
      <c r="H28" s="95"/>
      <c r="I28" s="95"/>
      <c r="J28" s="95"/>
      <c r="K28" s="95"/>
    </row>
    <row r="29" spans="3:11" ht="19.5" customHeight="1" x14ac:dyDescent="0.35">
      <c r="C29" s="144" t="s">
        <v>171</v>
      </c>
      <c r="D29" s="95"/>
      <c r="E29" s="95"/>
      <c r="F29" s="95"/>
      <c r="G29" s="95"/>
      <c r="H29" s="95"/>
      <c r="I29" s="95"/>
      <c r="J29" s="95"/>
      <c r="K29" s="95"/>
    </row>
    <row r="30" spans="3:11" ht="21.75" customHeight="1" x14ac:dyDescent="0.35">
      <c r="C30" s="31" t="s">
        <v>98</v>
      </c>
      <c r="D30" s="31" t="s">
        <v>36</v>
      </c>
      <c r="E30" s="31" t="s">
        <v>99</v>
      </c>
      <c r="F30" s="31" t="s">
        <v>100</v>
      </c>
      <c r="G30" s="31" t="s">
        <v>40</v>
      </c>
      <c r="H30" s="31" t="s">
        <v>101</v>
      </c>
    </row>
    <row r="31" spans="3:11" ht="21.75" customHeight="1" x14ac:dyDescent="0.35">
      <c r="C31" s="19" t="s">
        <v>125</v>
      </c>
      <c r="D31" s="20" t="s">
        <v>172</v>
      </c>
      <c r="E31" s="23">
        <v>0</v>
      </c>
      <c r="F31" s="23">
        <v>0</v>
      </c>
      <c r="G31" s="20" t="s">
        <v>173</v>
      </c>
      <c r="H31" s="45" t="str">
        <f>IF(E31&gt;F31,D31,IF(E31&lt;F31,G31,"Nul"))</f>
        <v>Nul</v>
      </c>
    </row>
    <row r="32" spans="3:11" ht="21.75" customHeight="1" x14ac:dyDescent="0.35">
      <c r="C32" s="19" t="s">
        <v>126</v>
      </c>
      <c r="D32" s="20" t="s">
        <v>172</v>
      </c>
      <c r="E32" s="23">
        <v>0</v>
      </c>
      <c r="F32" s="23">
        <v>0</v>
      </c>
      <c r="G32" s="20" t="s">
        <v>174</v>
      </c>
      <c r="H32" s="45" t="str">
        <f>IF(E32&gt;F32,D32,IF(E32&lt;F32,G32,"Nul"))</f>
        <v>Nul</v>
      </c>
    </row>
    <row r="33" spans="3:11" ht="21.75" customHeight="1" x14ac:dyDescent="0.35">
      <c r="C33" s="19" t="s">
        <v>127</v>
      </c>
      <c r="D33" s="20" t="s">
        <v>173</v>
      </c>
      <c r="E33" s="23">
        <v>0</v>
      </c>
      <c r="F33" s="23">
        <v>0</v>
      </c>
      <c r="G33" s="20" t="s">
        <v>174</v>
      </c>
      <c r="H33" s="45" t="str">
        <f>IF(E33&gt;F33,D33,IF(E33&lt;F33,G33,"Nul"))</f>
        <v>Nul</v>
      </c>
    </row>
    <row r="35" spans="3:11" ht="24.75" customHeight="1" x14ac:dyDescent="0.35">
      <c r="C35" s="102" t="s">
        <v>175</v>
      </c>
      <c r="D35" s="95"/>
      <c r="E35" s="95"/>
      <c r="F35" s="95"/>
      <c r="G35" s="95"/>
      <c r="H35" s="95"/>
      <c r="I35" s="95"/>
      <c r="J35" s="95"/>
      <c r="K35" s="95"/>
    </row>
    <row r="36" spans="3:11" ht="19.5" customHeight="1" x14ac:dyDescent="0.35">
      <c r="C36" s="144" t="s">
        <v>176</v>
      </c>
      <c r="D36" s="95"/>
      <c r="E36" s="95"/>
      <c r="F36" s="95"/>
      <c r="G36" s="95"/>
      <c r="H36" s="95"/>
      <c r="I36" s="95"/>
      <c r="J36" s="95"/>
      <c r="K36" s="95"/>
    </row>
    <row r="37" spans="3:11" ht="21.75" customHeight="1" x14ac:dyDescent="0.35">
      <c r="C37" s="31" t="s">
        <v>98</v>
      </c>
      <c r="D37" s="31" t="s">
        <v>36</v>
      </c>
      <c r="E37" s="31" t="s">
        <v>99</v>
      </c>
      <c r="F37" s="31" t="s">
        <v>100</v>
      </c>
      <c r="G37" s="31" t="s">
        <v>40</v>
      </c>
      <c r="H37" s="31" t="s">
        <v>101</v>
      </c>
    </row>
    <row r="38" spans="3:11" ht="21.75" customHeight="1" x14ac:dyDescent="0.35">
      <c r="C38" s="19" t="s">
        <v>125</v>
      </c>
      <c r="D38" s="20" t="s">
        <v>172</v>
      </c>
      <c r="E38" s="23">
        <v>0</v>
      </c>
      <c r="F38" s="23">
        <v>0</v>
      </c>
      <c r="G38" s="20" t="s">
        <v>173</v>
      </c>
      <c r="H38" s="45" t="str">
        <f>IF(E38&gt;F38,D38,IF(E38&lt;F38,G38,"Nul"))</f>
        <v>Nul</v>
      </c>
    </row>
    <row r="39" spans="3:11" ht="21.75" customHeight="1" x14ac:dyDescent="0.35">
      <c r="C39" s="19" t="s">
        <v>126</v>
      </c>
      <c r="D39" s="20" t="s">
        <v>172</v>
      </c>
      <c r="E39" s="23">
        <v>0</v>
      </c>
      <c r="F39" s="23">
        <v>0</v>
      </c>
      <c r="G39" s="20" t="s">
        <v>174</v>
      </c>
      <c r="H39" s="45" t="str">
        <f>IF(E39&gt;F39,D39,IF(E39&lt;F39,G39,"Nul"))</f>
        <v>Nul</v>
      </c>
    </row>
    <row r="40" spans="3:11" ht="21.75" customHeight="1" x14ac:dyDescent="0.35">
      <c r="C40" s="19" t="s">
        <v>127</v>
      </c>
      <c r="D40" s="20" t="s">
        <v>173</v>
      </c>
      <c r="E40" s="23">
        <v>0</v>
      </c>
      <c r="F40" s="23">
        <v>0</v>
      </c>
      <c r="G40" s="20" t="s">
        <v>174</v>
      </c>
      <c r="H40" s="45" t="str">
        <f>IF(E40&gt;F40,D40,IF(E40&lt;F40,G40,"Nul"))</f>
        <v>Nul</v>
      </c>
    </row>
    <row r="42" spans="3:11" ht="24.75" customHeight="1" x14ac:dyDescent="0.35">
      <c r="C42" s="102" t="s">
        <v>177</v>
      </c>
      <c r="D42" s="95"/>
      <c r="E42" s="95"/>
      <c r="F42" s="95"/>
      <c r="G42" s="95"/>
      <c r="H42" s="95"/>
      <c r="I42" s="95"/>
      <c r="J42" s="95"/>
      <c r="K42" s="95"/>
    </row>
    <row r="43" spans="3:11" ht="19.5" customHeight="1" x14ac:dyDescent="0.35">
      <c r="C43" s="144" t="s">
        <v>178</v>
      </c>
      <c r="D43" s="95"/>
      <c r="E43" s="95"/>
      <c r="F43" s="95"/>
      <c r="G43" s="95"/>
      <c r="H43" s="95"/>
      <c r="I43" s="95"/>
      <c r="J43" s="95"/>
      <c r="K43" s="95"/>
    </row>
    <row r="44" spans="3:11" ht="21.75" customHeight="1" x14ac:dyDescent="0.35">
      <c r="C44" s="31" t="s">
        <v>98</v>
      </c>
      <c r="D44" s="31" t="s">
        <v>36</v>
      </c>
      <c r="E44" s="31" t="s">
        <v>99</v>
      </c>
      <c r="F44" s="31" t="s">
        <v>100</v>
      </c>
      <c r="G44" s="31" t="s">
        <v>40</v>
      </c>
      <c r="H44" s="31" t="s">
        <v>101</v>
      </c>
    </row>
    <row r="45" spans="3:11" ht="21.75" customHeight="1" x14ac:dyDescent="0.35">
      <c r="C45" s="19" t="s">
        <v>125</v>
      </c>
      <c r="D45" s="20" t="s">
        <v>172</v>
      </c>
      <c r="E45" s="23">
        <v>0</v>
      </c>
      <c r="F45" s="23">
        <v>0</v>
      </c>
      <c r="G45" s="20" t="s">
        <v>173</v>
      </c>
      <c r="H45" s="45" t="str">
        <f>IF(E45&gt;F45,D45,IF(E45&lt;F45,G45,"Nul"))</f>
        <v>Nul</v>
      </c>
    </row>
    <row r="46" spans="3:11" ht="21.75" customHeight="1" x14ac:dyDescent="0.35">
      <c r="C46" s="19" t="s">
        <v>126</v>
      </c>
      <c r="D46" s="20" t="s">
        <v>172</v>
      </c>
      <c r="E46" s="23">
        <v>0</v>
      </c>
      <c r="F46" s="23">
        <v>0</v>
      </c>
      <c r="G46" s="20" t="s">
        <v>174</v>
      </c>
      <c r="H46" s="45" t="str">
        <f>IF(E46&gt;F46,D46,IF(E46&lt;F46,G46,"Nul"))</f>
        <v>Nul</v>
      </c>
    </row>
    <row r="47" spans="3:11" ht="21.75" customHeight="1" x14ac:dyDescent="0.35">
      <c r="C47" s="19" t="s">
        <v>127</v>
      </c>
      <c r="D47" s="20" t="s">
        <v>173</v>
      </c>
      <c r="E47" s="23">
        <v>0</v>
      </c>
      <c r="F47" s="23">
        <v>0</v>
      </c>
      <c r="G47" s="20" t="s">
        <v>174</v>
      </c>
      <c r="H47" s="45" t="str">
        <f>IF(E47&gt;F47,D47,IF(E47&lt;F47,G47,"Nul"))</f>
        <v>Nul</v>
      </c>
    </row>
    <row r="49" spans="3:11" ht="24.75" customHeight="1" x14ac:dyDescent="0.35">
      <c r="C49" s="102" t="s">
        <v>179</v>
      </c>
      <c r="D49" s="95"/>
      <c r="E49" s="95"/>
      <c r="F49" s="95"/>
      <c r="G49" s="95"/>
      <c r="H49" s="95"/>
      <c r="I49" s="95"/>
      <c r="J49" s="95"/>
      <c r="K49" s="95"/>
    </row>
    <row r="50" spans="3:11" ht="19.5" customHeight="1" x14ac:dyDescent="0.35">
      <c r="C50" s="144" t="s">
        <v>180</v>
      </c>
      <c r="D50" s="95"/>
      <c r="E50" s="95"/>
      <c r="F50" s="95"/>
      <c r="G50" s="95"/>
      <c r="H50" s="95"/>
      <c r="I50" s="95"/>
      <c r="J50" s="95"/>
      <c r="K50" s="95"/>
    </row>
    <row r="51" spans="3:11" ht="21.75" customHeight="1" x14ac:dyDescent="0.35">
      <c r="C51" s="31" t="s">
        <v>98</v>
      </c>
      <c r="D51" s="31" t="s">
        <v>36</v>
      </c>
      <c r="E51" s="31" t="s">
        <v>99</v>
      </c>
      <c r="F51" s="31" t="s">
        <v>100</v>
      </c>
      <c r="G51" s="31" t="s">
        <v>40</v>
      </c>
      <c r="H51" s="31" t="s">
        <v>101</v>
      </c>
    </row>
    <row r="52" spans="3:11" ht="21.75" customHeight="1" x14ac:dyDescent="0.35">
      <c r="C52" s="19" t="s">
        <v>125</v>
      </c>
      <c r="D52" s="20" t="s">
        <v>172</v>
      </c>
      <c r="E52" s="23">
        <v>0</v>
      </c>
      <c r="F52" s="23">
        <v>0</v>
      </c>
      <c r="G52" s="20" t="s">
        <v>173</v>
      </c>
      <c r="H52" s="45" t="str">
        <f>IF(E52&gt;F52,D52,IF(E52&lt;F52,G52,"Nul"))</f>
        <v>Nul</v>
      </c>
    </row>
    <row r="53" spans="3:11" ht="21.75" customHeight="1" x14ac:dyDescent="0.35">
      <c r="C53" s="19" t="s">
        <v>126</v>
      </c>
      <c r="D53" s="20" t="s">
        <v>172</v>
      </c>
      <c r="E53" s="23">
        <v>0</v>
      </c>
      <c r="F53" s="23">
        <v>0</v>
      </c>
      <c r="G53" s="20" t="s">
        <v>174</v>
      </c>
      <c r="H53" s="45" t="str">
        <f>IF(E53&gt;F53,D53,IF(E53&lt;F53,G53,"Nul"))</f>
        <v>Nul</v>
      </c>
    </row>
    <row r="54" spans="3:11" ht="21.75" customHeight="1" x14ac:dyDescent="0.35">
      <c r="C54" s="19" t="s">
        <v>127</v>
      </c>
      <c r="D54" s="20" t="s">
        <v>173</v>
      </c>
      <c r="E54" s="23">
        <v>0</v>
      </c>
      <c r="F54" s="23">
        <v>0</v>
      </c>
      <c r="G54" s="20" t="s">
        <v>174</v>
      </c>
      <c r="H54" s="45" t="str">
        <f>IF(E54&gt;F54,D54,IF(E54&lt;F54,G54,"Nul"))</f>
        <v>Nul</v>
      </c>
    </row>
  </sheetData>
  <mergeCells count="19">
    <mergeCell ref="C50:K50"/>
    <mergeCell ref="C22:K22"/>
    <mergeCell ref="C43:K43"/>
    <mergeCell ref="C12:K12"/>
    <mergeCell ref="C21:K21"/>
    <mergeCell ref="C27:K27"/>
    <mergeCell ref="C36:K36"/>
    <mergeCell ref="C17:K17"/>
    <mergeCell ref="C28:K28"/>
    <mergeCell ref="C49:K49"/>
    <mergeCell ref="C42:K42"/>
    <mergeCell ref="C35:K35"/>
    <mergeCell ref="C4:K4"/>
    <mergeCell ref="C29:K29"/>
    <mergeCell ref="C16:K16"/>
    <mergeCell ref="C1:K1"/>
    <mergeCell ref="C11:K11"/>
    <mergeCell ref="C7:K7"/>
    <mergeCell ref="C3:K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📋 Mode d'emploi</vt:lpstr>
      <vt:lpstr>📝 Équipes</vt:lpstr>
      <vt:lpstr>Phase 1 - Poule A</vt:lpstr>
      <vt:lpstr>Phase 1 - Poule B</vt:lpstr>
      <vt:lpstr>Phase 1 - Poule C</vt:lpstr>
      <vt:lpstr>Phase 1 - Poule D</vt:lpstr>
      <vt:lpstr>Phase 1 - Poule E</vt:lpstr>
      <vt:lpstr>Classement Phase 1</vt:lpstr>
      <vt:lpstr>🏆 Phase 2 Top</vt:lpstr>
      <vt:lpstr>🥉 Phase 2 Consolante</vt:lpstr>
      <vt:lpstr>🏅 Phases Finales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Birdie Data</cp:lastModifiedBy>
  <cp:revision>0</cp:revision>
  <dcterms:created xsi:type="dcterms:W3CDTF">2026-03-01T18:29:51Z</dcterms:created>
  <dcterms:modified xsi:type="dcterms:W3CDTF">2026-03-16T23:45:15Z</dcterms:modified>
  <dc:language>en-US</dc:language>
</cp:coreProperties>
</file>